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Data Analysis Bootcamp\Excel\"/>
    </mc:Choice>
  </mc:AlternateContent>
  <xr:revisionPtr revIDLastSave="0" documentId="13_ncr:1_{40AE1544-18DD-4D18-BE97-833373074E90}"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sheet" sheetId="3" r:id="rId2"/>
    <sheet name="Pivot" sheetId="2" r:id="rId3"/>
    <sheet name="Dashboard" sheetId="4" r:id="rId4"/>
  </sheets>
  <definedNames>
    <definedName name="_xlnm._FilterDatabase" localSheetId="0" hidden="1">bike_buyers!$A$1:$M$1001</definedName>
    <definedName name="_xlnm._FilterDatabase" localSheetId="1" hidden="1">Worksheet!$A$1:$N$1001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3" l="1"/>
  <c r="M4" i="3"/>
  <c r="M5" i="3"/>
  <c r="M6" i="3"/>
  <c r="M7" i="3"/>
  <c r="M8" i="3"/>
  <c r="M9" i="3"/>
  <c r="M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82" i="3"/>
  <c r="M83" i="3"/>
  <c r="M84" i="3"/>
  <c r="M85" i="3"/>
  <c r="M86" i="3"/>
  <c r="M87" i="3"/>
  <c r="M88" i="3"/>
  <c r="M89" i="3"/>
  <c r="M90" i="3"/>
  <c r="M91" i="3"/>
  <c r="M92" i="3"/>
  <c r="M93" i="3"/>
  <c r="M94" i="3"/>
  <c r="M95" i="3"/>
  <c r="M96" i="3"/>
  <c r="M97" i="3"/>
  <c r="M98" i="3"/>
  <c r="M99" i="3"/>
  <c r="M100" i="3"/>
  <c r="M101" i="3"/>
  <c r="M102" i="3"/>
  <c r="M103" i="3"/>
  <c r="M104" i="3"/>
  <c r="M105" i="3"/>
  <c r="M106" i="3"/>
  <c r="M107" i="3"/>
  <c r="M108" i="3"/>
  <c r="M109" i="3"/>
  <c r="M110" i="3"/>
  <c r="M111" i="3"/>
  <c r="M112" i="3"/>
  <c r="M113" i="3"/>
  <c r="M114" i="3"/>
  <c r="M115" i="3"/>
  <c r="M116" i="3"/>
  <c r="M117" i="3"/>
  <c r="M118" i="3"/>
  <c r="M119" i="3"/>
  <c r="M120" i="3"/>
  <c r="M121" i="3"/>
  <c r="M122" i="3"/>
  <c r="M123" i="3"/>
  <c r="M124" i="3"/>
  <c r="M125" i="3"/>
  <c r="M126" i="3"/>
  <c r="M127" i="3"/>
  <c r="M128" i="3"/>
  <c r="M129" i="3"/>
  <c r="M130" i="3"/>
  <c r="M131" i="3"/>
  <c r="M132" i="3"/>
  <c r="M133" i="3"/>
  <c r="M134" i="3"/>
  <c r="M135" i="3"/>
  <c r="M136" i="3"/>
  <c r="M137" i="3"/>
  <c r="M138" i="3"/>
  <c r="M139" i="3"/>
  <c r="M140" i="3"/>
  <c r="M141" i="3"/>
  <c r="M142" i="3"/>
  <c r="M143" i="3"/>
  <c r="M144" i="3"/>
  <c r="M145" i="3"/>
  <c r="M146" i="3"/>
  <c r="M147" i="3"/>
  <c r="M148" i="3"/>
  <c r="M149" i="3"/>
  <c r="M150" i="3"/>
  <c r="M151" i="3"/>
  <c r="M152" i="3"/>
  <c r="M153" i="3"/>
  <c r="M154" i="3"/>
  <c r="M155" i="3"/>
  <c r="M156" i="3"/>
  <c r="M157" i="3"/>
  <c r="M158" i="3"/>
  <c r="M159" i="3"/>
  <c r="M160" i="3"/>
  <c r="M161" i="3"/>
  <c r="M162" i="3"/>
  <c r="M163" i="3"/>
  <c r="M164" i="3"/>
  <c r="M165" i="3"/>
  <c r="M166" i="3"/>
  <c r="M167" i="3"/>
  <c r="M168" i="3"/>
  <c r="M169" i="3"/>
  <c r="M170" i="3"/>
  <c r="M171" i="3"/>
  <c r="M172" i="3"/>
  <c r="M173" i="3"/>
  <c r="M174" i="3"/>
  <c r="M175" i="3"/>
  <c r="M176" i="3"/>
  <c r="M177" i="3"/>
  <c r="M178" i="3"/>
  <c r="M179" i="3"/>
  <c r="M180" i="3"/>
  <c r="M181" i="3"/>
  <c r="M182" i="3"/>
  <c r="M183" i="3"/>
  <c r="M184" i="3"/>
  <c r="M185" i="3"/>
  <c r="M186" i="3"/>
  <c r="M187" i="3"/>
  <c r="M188" i="3"/>
  <c r="M189" i="3"/>
  <c r="M190" i="3"/>
  <c r="M191" i="3"/>
  <c r="M192" i="3"/>
  <c r="M193" i="3"/>
  <c r="M194" i="3"/>
  <c r="M195" i="3"/>
  <c r="M196" i="3"/>
  <c r="M197" i="3"/>
  <c r="M198" i="3"/>
  <c r="M199" i="3"/>
  <c r="M200" i="3"/>
  <c r="M201" i="3"/>
  <c r="M202" i="3"/>
  <c r="M203" i="3"/>
  <c r="M204" i="3"/>
  <c r="M205" i="3"/>
  <c r="M206" i="3"/>
  <c r="M207" i="3"/>
  <c r="M208" i="3"/>
  <c r="M209" i="3"/>
  <c r="M210" i="3"/>
  <c r="M211" i="3"/>
  <c r="M212" i="3"/>
  <c r="M213" i="3"/>
  <c r="M214" i="3"/>
  <c r="M215" i="3"/>
  <c r="M216" i="3"/>
  <c r="M217" i="3"/>
  <c r="M218" i="3"/>
  <c r="M219" i="3"/>
  <c r="M220" i="3"/>
  <c r="M221" i="3"/>
  <c r="M222" i="3"/>
  <c r="M223" i="3"/>
  <c r="M224" i="3"/>
  <c r="M225" i="3"/>
  <c r="M226" i="3"/>
  <c r="M227" i="3"/>
  <c r="M228" i="3"/>
  <c r="M229" i="3"/>
  <c r="M230" i="3"/>
  <c r="M231" i="3"/>
  <c r="M232" i="3"/>
  <c r="M233" i="3"/>
  <c r="M234" i="3"/>
  <c r="M235" i="3"/>
  <c r="M236" i="3"/>
  <c r="M237" i="3"/>
  <c r="M238" i="3"/>
  <c r="M239" i="3"/>
  <c r="M240" i="3"/>
  <c r="M241" i="3"/>
  <c r="M242" i="3"/>
  <c r="M243" i="3"/>
  <c r="M244" i="3"/>
  <c r="M245" i="3"/>
  <c r="M246" i="3"/>
  <c r="M247" i="3"/>
  <c r="M248" i="3"/>
  <c r="M249" i="3"/>
  <c r="M250" i="3"/>
  <c r="M251" i="3"/>
  <c r="M252" i="3"/>
  <c r="M253" i="3"/>
  <c r="M254" i="3"/>
  <c r="M255" i="3"/>
  <c r="M256" i="3"/>
  <c r="M257" i="3"/>
  <c r="M258" i="3"/>
  <c r="M259" i="3"/>
  <c r="M260" i="3"/>
  <c r="M261" i="3"/>
  <c r="M262" i="3"/>
  <c r="M263" i="3"/>
  <c r="M264" i="3"/>
  <c r="M265" i="3"/>
  <c r="M266" i="3"/>
  <c r="M267" i="3"/>
  <c r="M268" i="3"/>
  <c r="M269" i="3"/>
  <c r="M270" i="3"/>
  <c r="M271" i="3"/>
  <c r="M272" i="3"/>
  <c r="M273" i="3"/>
  <c r="M274" i="3"/>
  <c r="M275" i="3"/>
  <c r="M276" i="3"/>
  <c r="M277" i="3"/>
  <c r="M278" i="3"/>
  <c r="M279" i="3"/>
  <c r="M280" i="3"/>
  <c r="M281" i="3"/>
  <c r="M282" i="3"/>
  <c r="M283" i="3"/>
  <c r="M284" i="3"/>
  <c r="M285" i="3"/>
  <c r="M286" i="3"/>
  <c r="M287" i="3"/>
  <c r="M288" i="3"/>
  <c r="M289" i="3"/>
  <c r="M290" i="3"/>
  <c r="M291" i="3"/>
  <c r="M292" i="3"/>
  <c r="M293" i="3"/>
  <c r="M294" i="3"/>
  <c r="M295" i="3"/>
  <c r="M296" i="3"/>
  <c r="M297" i="3"/>
  <c r="M298" i="3"/>
  <c r="M299" i="3"/>
  <c r="M300" i="3"/>
  <c r="M301" i="3"/>
  <c r="M302" i="3"/>
  <c r="M303" i="3"/>
  <c r="M304" i="3"/>
  <c r="M305" i="3"/>
  <c r="M306" i="3"/>
  <c r="M307" i="3"/>
  <c r="M308" i="3"/>
  <c r="M309" i="3"/>
  <c r="M310" i="3"/>
  <c r="M311" i="3"/>
  <c r="M312" i="3"/>
  <c r="M313" i="3"/>
  <c r="M314" i="3"/>
  <c r="M315" i="3"/>
  <c r="M316" i="3"/>
  <c r="M317" i="3"/>
  <c r="M318" i="3"/>
  <c r="M319" i="3"/>
  <c r="M320" i="3"/>
  <c r="M321" i="3"/>
  <c r="M322" i="3"/>
  <c r="M323" i="3"/>
  <c r="M324" i="3"/>
  <c r="M325" i="3"/>
  <c r="M326" i="3"/>
  <c r="M327" i="3"/>
  <c r="M328" i="3"/>
  <c r="M329" i="3"/>
  <c r="M330" i="3"/>
  <c r="M331" i="3"/>
  <c r="M332" i="3"/>
  <c r="M333" i="3"/>
  <c r="M334" i="3"/>
  <c r="M335" i="3"/>
  <c r="M336" i="3"/>
  <c r="M337" i="3"/>
  <c r="M338" i="3"/>
  <c r="M339" i="3"/>
  <c r="M340" i="3"/>
  <c r="M341" i="3"/>
  <c r="M342" i="3"/>
  <c r="M343" i="3"/>
  <c r="M344" i="3"/>
  <c r="M345" i="3"/>
  <c r="M346" i="3"/>
  <c r="M347" i="3"/>
  <c r="M348" i="3"/>
  <c r="M349" i="3"/>
  <c r="M350" i="3"/>
  <c r="M351" i="3"/>
  <c r="M352" i="3"/>
  <c r="M353" i="3"/>
  <c r="M354" i="3"/>
  <c r="M355" i="3"/>
  <c r="M356" i="3"/>
  <c r="M357" i="3"/>
  <c r="M358" i="3"/>
  <c r="M359" i="3"/>
  <c r="M360" i="3"/>
  <c r="M361" i="3"/>
  <c r="M362" i="3"/>
  <c r="M363" i="3"/>
  <c r="M364" i="3"/>
  <c r="M365" i="3"/>
  <c r="M366" i="3"/>
  <c r="M367" i="3"/>
  <c r="M368" i="3"/>
  <c r="M369" i="3"/>
  <c r="M370" i="3"/>
  <c r="M371" i="3"/>
  <c r="M372" i="3"/>
  <c r="M373" i="3"/>
  <c r="M374" i="3"/>
  <c r="M375" i="3"/>
  <c r="M376" i="3"/>
  <c r="M377" i="3"/>
  <c r="M378" i="3"/>
  <c r="M379" i="3"/>
  <c r="M380" i="3"/>
  <c r="M381" i="3"/>
  <c r="M382" i="3"/>
  <c r="M383" i="3"/>
  <c r="M384" i="3"/>
  <c r="M385" i="3"/>
  <c r="M386" i="3"/>
  <c r="M387" i="3"/>
  <c r="M388" i="3"/>
  <c r="M389" i="3"/>
  <c r="M390" i="3"/>
  <c r="M391" i="3"/>
  <c r="M392" i="3"/>
  <c r="M393" i="3"/>
  <c r="M394" i="3"/>
  <c r="M395" i="3"/>
  <c r="M396" i="3"/>
  <c r="M397" i="3"/>
  <c r="M398" i="3"/>
  <c r="M399" i="3"/>
  <c r="M400" i="3"/>
  <c r="M401" i="3"/>
  <c r="M402" i="3"/>
  <c r="M403" i="3"/>
  <c r="M404" i="3"/>
  <c r="M405" i="3"/>
  <c r="M406" i="3"/>
  <c r="M407" i="3"/>
  <c r="M408" i="3"/>
  <c r="M409" i="3"/>
  <c r="M410" i="3"/>
  <c r="M411" i="3"/>
  <c r="M412" i="3"/>
  <c r="M413" i="3"/>
  <c r="M414" i="3"/>
  <c r="M415" i="3"/>
  <c r="M416" i="3"/>
  <c r="M417" i="3"/>
  <c r="M418" i="3"/>
  <c r="M419" i="3"/>
  <c r="M420" i="3"/>
  <c r="M421" i="3"/>
  <c r="M422" i="3"/>
  <c r="M423" i="3"/>
  <c r="M424" i="3"/>
  <c r="M425" i="3"/>
  <c r="M426" i="3"/>
  <c r="M427" i="3"/>
  <c r="M428" i="3"/>
  <c r="M429" i="3"/>
  <c r="M430" i="3"/>
  <c r="M431" i="3"/>
  <c r="M432" i="3"/>
  <c r="M433" i="3"/>
  <c r="M434" i="3"/>
  <c r="M435" i="3"/>
  <c r="M436" i="3"/>
  <c r="M437" i="3"/>
  <c r="M438" i="3"/>
  <c r="M439" i="3"/>
  <c r="M440" i="3"/>
  <c r="M441" i="3"/>
  <c r="M442" i="3"/>
  <c r="M443" i="3"/>
  <c r="M444" i="3"/>
  <c r="M445" i="3"/>
  <c r="M446" i="3"/>
  <c r="M447" i="3"/>
  <c r="M448" i="3"/>
  <c r="M449" i="3"/>
  <c r="M450" i="3"/>
  <c r="M451" i="3"/>
  <c r="M452" i="3"/>
  <c r="M453" i="3"/>
  <c r="M454" i="3"/>
  <c r="M455" i="3"/>
  <c r="M456" i="3"/>
  <c r="M457" i="3"/>
  <c r="M458" i="3"/>
  <c r="M459" i="3"/>
  <c r="M460" i="3"/>
  <c r="M461" i="3"/>
  <c r="M462" i="3"/>
  <c r="M463" i="3"/>
  <c r="M464" i="3"/>
  <c r="M465" i="3"/>
  <c r="M466" i="3"/>
  <c r="M467" i="3"/>
  <c r="M468" i="3"/>
  <c r="M469" i="3"/>
  <c r="M470" i="3"/>
  <c r="M471" i="3"/>
  <c r="M472" i="3"/>
  <c r="M473" i="3"/>
  <c r="M474" i="3"/>
  <c r="M475" i="3"/>
  <c r="M476" i="3"/>
  <c r="M477" i="3"/>
  <c r="M478" i="3"/>
  <c r="M479" i="3"/>
  <c r="M480" i="3"/>
  <c r="M481" i="3"/>
  <c r="M482" i="3"/>
  <c r="M483" i="3"/>
  <c r="M484" i="3"/>
  <c r="M485" i="3"/>
  <c r="M486" i="3"/>
  <c r="M487" i="3"/>
  <c r="M488" i="3"/>
  <c r="M489" i="3"/>
  <c r="M490" i="3"/>
  <c r="M491" i="3"/>
  <c r="M492" i="3"/>
  <c r="M493" i="3"/>
  <c r="M494" i="3"/>
  <c r="M495" i="3"/>
  <c r="M496" i="3"/>
  <c r="M497" i="3"/>
  <c r="M498" i="3"/>
  <c r="M499" i="3"/>
  <c r="M500" i="3"/>
  <c r="M501" i="3"/>
  <c r="M502" i="3"/>
  <c r="M503" i="3"/>
  <c r="M504" i="3"/>
  <c r="M505" i="3"/>
  <c r="M506" i="3"/>
  <c r="M507" i="3"/>
  <c r="M508" i="3"/>
  <c r="M509" i="3"/>
  <c r="M510" i="3"/>
  <c r="M511" i="3"/>
  <c r="M512" i="3"/>
  <c r="M513" i="3"/>
  <c r="M514" i="3"/>
  <c r="M515" i="3"/>
  <c r="M516" i="3"/>
  <c r="M517" i="3"/>
  <c r="M518" i="3"/>
  <c r="M519" i="3"/>
  <c r="M520" i="3"/>
  <c r="M521" i="3"/>
  <c r="M522" i="3"/>
  <c r="M523" i="3"/>
  <c r="M524" i="3"/>
  <c r="M525" i="3"/>
  <c r="M526" i="3"/>
  <c r="M527" i="3"/>
  <c r="M528" i="3"/>
  <c r="M529" i="3"/>
  <c r="M530" i="3"/>
  <c r="M531" i="3"/>
  <c r="M532" i="3"/>
  <c r="M533" i="3"/>
  <c r="M534" i="3"/>
  <c r="M535" i="3"/>
  <c r="M536" i="3"/>
  <c r="M537" i="3"/>
  <c r="M538" i="3"/>
  <c r="M539" i="3"/>
  <c r="M540" i="3"/>
  <c r="M541" i="3"/>
  <c r="M542" i="3"/>
  <c r="M543" i="3"/>
  <c r="M544" i="3"/>
  <c r="M545" i="3"/>
  <c r="M546" i="3"/>
  <c r="M547" i="3"/>
  <c r="M548" i="3"/>
  <c r="M549" i="3"/>
  <c r="M550" i="3"/>
  <c r="M551" i="3"/>
  <c r="M552" i="3"/>
  <c r="M553" i="3"/>
  <c r="M554" i="3"/>
  <c r="M555" i="3"/>
  <c r="M556" i="3"/>
  <c r="M557" i="3"/>
  <c r="M558" i="3"/>
  <c r="M559" i="3"/>
  <c r="M560" i="3"/>
  <c r="M561" i="3"/>
  <c r="M562" i="3"/>
  <c r="M563" i="3"/>
  <c r="M564" i="3"/>
  <c r="M565" i="3"/>
  <c r="M566" i="3"/>
  <c r="M567" i="3"/>
  <c r="M568" i="3"/>
  <c r="M569" i="3"/>
  <c r="M570" i="3"/>
  <c r="M571" i="3"/>
  <c r="M572" i="3"/>
  <c r="M573" i="3"/>
  <c r="M574" i="3"/>
  <c r="M575" i="3"/>
  <c r="M576" i="3"/>
  <c r="M577" i="3"/>
  <c r="M578" i="3"/>
  <c r="M579" i="3"/>
  <c r="M580" i="3"/>
  <c r="M581" i="3"/>
  <c r="M582" i="3"/>
  <c r="M583" i="3"/>
  <c r="M584" i="3"/>
  <c r="M585" i="3"/>
  <c r="M586" i="3"/>
  <c r="M587" i="3"/>
  <c r="M588" i="3"/>
  <c r="M589" i="3"/>
  <c r="M590" i="3"/>
  <c r="M591" i="3"/>
  <c r="M592" i="3"/>
  <c r="M593" i="3"/>
  <c r="M594" i="3"/>
  <c r="M595" i="3"/>
  <c r="M596" i="3"/>
  <c r="M597" i="3"/>
  <c r="M598" i="3"/>
  <c r="M599" i="3"/>
  <c r="M600" i="3"/>
  <c r="M601" i="3"/>
  <c r="M602" i="3"/>
  <c r="M603" i="3"/>
  <c r="M604" i="3"/>
  <c r="M605" i="3"/>
  <c r="M606" i="3"/>
  <c r="M607" i="3"/>
  <c r="M608" i="3"/>
  <c r="M609" i="3"/>
  <c r="M610" i="3"/>
  <c r="M611" i="3"/>
  <c r="M612" i="3"/>
  <c r="M613" i="3"/>
  <c r="M614" i="3"/>
  <c r="M615" i="3"/>
  <c r="M616" i="3"/>
  <c r="M617" i="3"/>
  <c r="M618" i="3"/>
  <c r="M619" i="3"/>
  <c r="M620" i="3"/>
  <c r="M621" i="3"/>
  <c r="M622" i="3"/>
  <c r="M623" i="3"/>
  <c r="M624" i="3"/>
  <c r="M625" i="3"/>
  <c r="M626" i="3"/>
  <c r="M627" i="3"/>
  <c r="M628" i="3"/>
  <c r="M629" i="3"/>
  <c r="M630" i="3"/>
  <c r="M631" i="3"/>
  <c r="M632" i="3"/>
  <c r="M633" i="3"/>
  <c r="M634" i="3"/>
  <c r="M635" i="3"/>
  <c r="M636" i="3"/>
  <c r="M637" i="3"/>
  <c r="M638" i="3"/>
  <c r="M639" i="3"/>
  <c r="M640" i="3"/>
  <c r="M641" i="3"/>
  <c r="M642" i="3"/>
  <c r="M643" i="3"/>
  <c r="M644" i="3"/>
  <c r="M645" i="3"/>
  <c r="M646" i="3"/>
  <c r="M647" i="3"/>
  <c r="M648" i="3"/>
  <c r="M649" i="3"/>
  <c r="M650" i="3"/>
  <c r="M651" i="3"/>
  <c r="M652" i="3"/>
  <c r="M653" i="3"/>
  <c r="M654" i="3"/>
  <c r="M655" i="3"/>
  <c r="M656" i="3"/>
  <c r="M657" i="3"/>
  <c r="M658" i="3"/>
  <c r="M659" i="3"/>
  <c r="M660" i="3"/>
  <c r="M661" i="3"/>
  <c r="M662" i="3"/>
  <c r="M663" i="3"/>
  <c r="M664" i="3"/>
  <c r="M665" i="3"/>
  <c r="M666" i="3"/>
  <c r="M667" i="3"/>
  <c r="M668" i="3"/>
  <c r="M669" i="3"/>
  <c r="M670" i="3"/>
  <c r="M671" i="3"/>
  <c r="M672" i="3"/>
  <c r="M673" i="3"/>
  <c r="M674" i="3"/>
  <c r="M675" i="3"/>
  <c r="M676" i="3"/>
  <c r="M677" i="3"/>
  <c r="M678" i="3"/>
  <c r="M679" i="3"/>
  <c r="M680" i="3"/>
  <c r="M681" i="3"/>
  <c r="M682" i="3"/>
  <c r="M683" i="3"/>
  <c r="M684" i="3"/>
  <c r="M685" i="3"/>
  <c r="M686" i="3"/>
  <c r="M687" i="3"/>
  <c r="M688" i="3"/>
  <c r="M689" i="3"/>
  <c r="M690" i="3"/>
  <c r="M691" i="3"/>
  <c r="M692" i="3"/>
  <c r="M693" i="3"/>
  <c r="M694" i="3"/>
  <c r="M695" i="3"/>
  <c r="M696" i="3"/>
  <c r="M697" i="3"/>
  <c r="M698" i="3"/>
  <c r="M699" i="3"/>
  <c r="M700" i="3"/>
  <c r="M701" i="3"/>
  <c r="M702" i="3"/>
  <c r="M703" i="3"/>
  <c r="M704" i="3"/>
  <c r="M705" i="3"/>
  <c r="M706" i="3"/>
  <c r="M707" i="3"/>
  <c r="M708" i="3"/>
  <c r="M709" i="3"/>
  <c r="M710" i="3"/>
  <c r="M711" i="3"/>
  <c r="M712" i="3"/>
  <c r="M713" i="3"/>
  <c r="M714" i="3"/>
  <c r="M715" i="3"/>
  <c r="M716" i="3"/>
  <c r="M717" i="3"/>
  <c r="M718" i="3"/>
  <c r="M719" i="3"/>
  <c r="M720" i="3"/>
  <c r="M721" i="3"/>
  <c r="M722" i="3"/>
  <c r="M723" i="3"/>
  <c r="M724" i="3"/>
  <c r="M725" i="3"/>
  <c r="M726" i="3"/>
  <c r="M727" i="3"/>
  <c r="M728" i="3"/>
  <c r="M729" i="3"/>
  <c r="M730" i="3"/>
  <c r="M731" i="3"/>
  <c r="M732" i="3"/>
  <c r="M733" i="3"/>
  <c r="M734" i="3"/>
  <c r="M735" i="3"/>
  <c r="M736" i="3"/>
  <c r="M737" i="3"/>
  <c r="M738" i="3"/>
  <c r="M739" i="3"/>
  <c r="M740" i="3"/>
  <c r="M741" i="3"/>
  <c r="M742" i="3"/>
  <c r="M743" i="3"/>
  <c r="M744" i="3"/>
  <c r="M745" i="3"/>
  <c r="M746" i="3"/>
  <c r="M747" i="3"/>
  <c r="M748" i="3"/>
  <c r="M749" i="3"/>
  <c r="M750" i="3"/>
  <c r="M751" i="3"/>
  <c r="M752" i="3"/>
  <c r="M753" i="3"/>
  <c r="M754" i="3"/>
  <c r="M755" i="3"/>
  <c r="M756" i="3"/>
  <c r="M757" i="3"/>
  <c r="M758" i="3"/>
  <c r="M759" i="3"/>
  <c r="M760" i="3"/>
  <c r="M761" i="3"/>
  <c r="M762" i="3"/>
  <c r="M763" i="3"/>
  <c r="M764" i="3"/>
  <c r="M765" i="3"/>
  <c r="M766" i="3"/>
  <c r="M767" i="3"/>
  <c r="M768" i="3"/>
  <c r="M769" i="3"/>
  <c r="M770" i="3"/>
  <c r="M771" i="3"/>
  <c r="M772" i="3"/>
  <c r="M773" i="3"/>
  <c r="M774" i="3"/>
  <c r="M775" i="3"/>
  <c r="M776" i="3"/>
  <c r="M777" i="3"/>
  <c r="M778" i="3"/>
  <c r="M779" i="3"/>
  <c r="M780" i="3"/>
  <c r="M781" i="3"/>
  <c r="M782" i="3"/>
  <c r="M783" i="3"/>
  <c r="M784" i="3"/>
  <c r="M785" i="3"/>
  <c r="M786" i="3"/>
  <c r="M787" i="3"/>
  <c r="M788" i="3"/>
  <c r="M789" i="3"/>
  <c r="M790" i="3"/>
  <c r="M791" i="3"/>
  <c r="M792" i="3"/>
  <c r="M793" i="3"/>
  <c r="M794" i="3"/>
  <c r="M795" i="3"/>
  <c r="M796" i="3"/>
  <c r="M797" i="3"/>
  <c r="M798" i="3"/>
  <c r="M799" i="3"/>
  <c r="M800" i="3"/>
  <c r="M801" i="3"/>
  <c r="M802" i="3"/>
  <c r="M803" i="3"/>
  <c r="M804" i="3"/>
  <c r="M805" i="3"/>
  <c r="M806" i="3"/>
  <c r="M807" i="3"/>
  <c r="M808" i="3"/>
  <c r="M809" i="3"/>
  <c r="M810" i="3"/>
  <c r="M811" i="3"/>
  <c r="M812" i="3"/>
  <c r="M813" i="3"/>
  <c r="M814" i="3"/>
  <c r="M815" i="3"/>
  <c r="M816" i="3"/>
  <c r="M817" i="3"/>
  <c r="M818" i="3"/>
  <c r="M819" i="3"/>
  <c r="M820" i="3"/>
  <c r="M821" i="3"/>
  <c r="M822" i="3"/>
  <c r="M823" i="3"/>
  <c r="M824" i="3"/>
  <c r="M825" i="3"/>
  <c r="M826" i="3"/>
  <c r="M827" i="3"/>
  <c r="M828" i="3"/>
  <c r="M829" i="3"/>
  <c r="M830" i="3"/>
  <c r="M831" i="3"/>
  <c r="M832" i="3"/>
  <c r="M833" i="3"/>
  <c r="M834" i="3"/>
  <c r="M835" i="3"/>
  <c r="M836" i="3"/>
  <c r="M837" i="3"/>
  <c r="M838" i="3"/>
  <c r="M839" i="3"/>
  <c r="M840" i="3"/>
  <c r="M841" i="3"/>
  <c r="M842" i="3"/>
  <c r="M843" i="3"/>
  <c r="M844" i="3"/>
  <c r="M845" i="3"/>
  <c r="M846" i="3"/>
  <c r="M847" i="3"/>
  <c r="M848" i="3"/>
  <c r="M849" i="3"/>
  <c r="M850" i="3"/>
  <c r="M851" i="3"/>
  <c r="M852" i="3"/>
  <c r="M853" i="3"/>
  <c r="M854" i="3"/>
  <c r="M855" i="3"/>
  <c r="M856" i="3"/>
  <c r="M857" i="3"/>
  <c r="M858" i="3"/>
  <c r="M859" i="3"/>
  <c r="M860" i="3"/>
  <c r="M861" i="3"/>
  <c r="M862" i="3"/>
  <c r="M863" i="3"/>
  <c r="M864" i="3"/>
  <c r="M865" i="3"/>
  <c r="M866" i="3"/>
  <c r="M867" i="3"/>
  <c r="M868" i="3"/>
  <c r="M869" i="3"/>
  <c r="M870" i="3"/>
  <c r="M871" i="3"/>
  <c r="M872" i="3"/>
  <c r="M873" i="3"/>
  <c r="M874" i="3"/>
  <c r="M875" i="3"/>
  <c r="M876" i="3"/>
  <c r="M877" i="3"/>
  <c r="M878" i="3"/>
  <c r="M879" i="3"/>
  <c r="M880" i="3"/>
  <c r="M881" i="3"/>
  <c r="M882" i="3"/>
  <c r="M883" i="3"/>
  <c r="M884" i="3"/>
  <c r="M885" i="3"/>
  <c r="M886" i="3"/>
  <c r="M887" i="3"/>
  <c r="M888" i="3"/>
  <c r="M889" i="3"/>
  <c r="M890" i="3"/>
  <c r="M891" i="3"/>
  <c r="M892" i="3"/>
  <c r="M893" i="3"/>
  <c r="M894" i="3"/>
  <c r="M895" i="3"/>
  <c r="M896" i="3"/>
  <c r="M897" i="3"/>
  <c r="M898" i="3"/>
  <c r="M899" i="3"/>
  <c r="M900" i="3"/>
  <c r="M901" i="3"/>
  <c r="M902" i="3"/>
  <c r="M903" i="3"/>
  <c r="M904" i="3"/>
  <c r="M905" i="3"/>
  <c r="M906" i="3"/>
  <c r="M907" i="3"/>
  <c r="M908" i="3"/>
  <c r="M909" i="3"/>
  <c r="M910" i="3"/>
  <c r="M911" i="3"/>
  <c r="M912" i="3"/>
  <c r="M913" i="3"/>
  <c r="M914" i="3"/>
  <c r="M915" i="3"/>
  <c r="M916" i="3"/>
  <c r="M917" i="3"/>
  <c r="M918" i="3"/>
  <c r="M919" i="3"/>
  <c r="M920" i="3"/>
  <c r="M921" i="3"/>
  <c r="M922" i="3"/>
  <c r="M923" i="3"/>
  <c r="M924" i="3"/>
  <c r="M925" i="3"/>
  <c r="M926" i="3"/>
  <c r="M927" i="3"/>
  <c r="M928" i="3"/>
  <c r="M929" i="3"/>
  <c r="M930" i="3"/>
  <c r="M931" i="3"/>
  <c r="M932" i="3"/>
  <c r="M933" i="3"/>
  <c r="M934" i="3"/>
  <c r="M935" i="3"/>
  <c r="M936" i="3"/>
  <c r="M937" i="3"/>
  <c r="M938" i="3"/>
  <c r="M939" i="3"/>
  <c r="M940" i="3"/>
  <c r="M941" i="3"/>
  <c r="M942" i="3"/>
  <c r="M943" i="3"/>
  <c r="M944" i="3"/>
  <c r="M945" i="3"/>
  <c r="M946" i="3"/>
  <c r="M947" i="3"/>
  <c r="M948" i="3"/>
  <c r="M949" i="3"/>
  <c r="M950" i="3"/>
  <c r="M951" i="3"/>
  <c r="M952" i="3"/>
  <c r="M953" i="3"/>
  <c r="M954" i="3"/>
  <c r="M955" i="3"/>
  <c r="M956" i="3"/>
  <c r="M957" i="3"/>
  <c r="M958" i="3"/>
  <c r="M959" i="3"/>
  <c r="M960" i="3"/>
  <c r="M961" i="3"/>
  <c r="M962" i="3"/>
  <c r="M963" i="3"/>
  <c r="M964" i="3"/>
  <c r="M965" i="3"/>
  <c r="M966" i="3"/>
  <c r="M967" i="3"/>
  <c r="M968" i="3"/>
  <c r="M969" i="3"/>
  <c r="M970" i="3"/>
  <c r="M971" i="3"/>
  <c r="M972" i="3"/>
  <c r="M973" i="3"/>
  <c r="M974" i="3"/>
  <c r="M975" i="3"/>
  <c r="M976" i="3"/>
  <c r="M977" i="3"/>
  <c r="M978" i="3"/>
  <c r="M979" i="3"/>
  <c r="M980" i="3"/>
  <c r="M981" i="3"/>
  <c r="M982" i="3"/>
  <c r="M983" i="3"/>
  <c r="M984" i="3"/>
  <c r="M985" i="3"/>
  <c r="M986" i="3"/>
  <c r="M987" i="3"/>
  <c r="M988" i="3"/>
  <c r="M989" i="3"/>
  <c r="M990" i="3"/>
  <c r="M991" i="3"/>
  <c r="M992" i="3"/>
  <c r="M993" i="3"/>
  <c r="M994" i="3"/>
  <c r="M995" i="3"/>
  <c r="M996" i="3"/>
  <c r="M997" i="3"/>
  <c r="M998" i="3"/>
  <c r="M999" i="3"/>
  <c r="M1000" i="3"/>
  <c r="M1001" i="3"/>
  <c r="M2" i="3"/>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<sst xmlns="http://schemas.openxmlformats.org/spreadsheetml/2006/main" count="16275" uniqueCount="52">
  <si>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</si>
  <si>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</si>
  <si>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</si>
  <si>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</si>
  <si>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</si>
  <si>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</si>
  <si>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</si>
  <si>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</si>
  <si>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</si>
  <si>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</si>
  <si>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</si>
  <si>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</si>
  <si>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</si>
  <si>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</si>
  <si>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</si>
  <si>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</si>
  <si>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</si>
  <si>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</si>
  <si>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</si>
  <si>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</si>
  <si>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</si>
  <si>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</si>
  <si>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</si>
  <si>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</si>
  <si>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</si>
  <si>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</si>
  <si>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</si>
  <si>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</si>
  <si>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</si>
  <si>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</si>
  <si>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</si>
  <si>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</si>
  <si>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</si>
  <si>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</si>
  <si>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</si>
  <si>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</si>
  <si>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</si>
  <si>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</si>
  <si>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</si>
  <si>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</si>
  <si>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Age-Brackets</t>
  </si>
  <si>
    <t>Row Labels</t>
  </si>
  <si>
    <t>Grand Total</t>
  </si>
  <si>
    <t>Average of Income</t>
  </si>
  <si>
    <t>Column Labels</t>
  </si>
  <si>
    <t>Count of Purchased Bike</t>
  </si>
  <si>
    <t>More than 10 Miles</t>
  </si>
  <si>
    <t>Adolescent</t>
  </si>
  <si>
    <t>Middle Age</t>
  </si>
  <si>
    <t>Old</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</si>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</sst>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xf numFmtId="0" fontId="19" fillId="34"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of Bike Purchasers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53440</c:v>
                </c:pt>
                <c:pt idx="1">
                  <c:v>56208.178438661707</c:v>
                </c:pt>
              </c:numCache>
            </c:numRef>
          </c:val>
          <c:extLst>
            <c:ext xmlns:c16="http://schemas.microsoft.com/office/drawing/2014/chart" uri="{C3380CC4-5D6E-409C-BE32-E72D297353CC}">
              <c16:uniqueId val="{00000000-5C49-45EE-8737-4D969D134801}"/>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55774.058577405856</c:v>
                </c:pt>
                <c:pt idx="1">
                  <c:v>60123.966942148763</c:v>
                </c:pt>
              </c:numCache>
            </c:numRef>
          </c:val>
          <c:extLst>
            <c:ext xmlns:c16="http://schemas.microsoft.com/office/drawing/2014/chart" uri="{C3380CC4-5D6E-409C-BE32-E72D297353CC}">
              <c16:uniqueId val="{00000001-5C49-45EE-8737-4D969D134801}"/>
            </c:ext>
          </c:extLst>
        </c:ser>
        <c:dLbls>
          <c:showLegendKey val="0"/>
          <c:showVal val="0"/>
          <c:showCatName val="0"/>
          <c:showSerName val="0"/>
          <c:showPercent val="0"/>
          <c:showBubbleSize val="0"/>
        </c:dLbls>
        <c:gapWidth val="219"/>
        <c:overlap val="-27"/>
        <c:axId val="362939960"/>
        <c:axId val="362940312"/>
      </c:barChart>
      <c:catAx>
        <c:axId val="362939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40312"/>
        <c:crosses val="autoZero"/>
        <c:auto val="1"/>
        <c:lblAlgn val="ctr"/>
        <c:lblOffset val="100"/>
        <c:noMultiLvlLbl val="0"/>
      </c:catAx>
      <c:valAx>
        <c:axId val="362940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399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Pivot!$B$17:$B$18</c:f>
              <c:strCache>
                <c:ptCount val="1"/>
                <c:pt idx="0">
                  <c:v>No</c:v>
                </c:pt>
              </c:strCache>
            </c:strRef>
          </c:tx>
          <c:spPr>
            <a:ln w="28575" cap="rnd">
              <a:solidFill>
                <a:schemeClr val="accent1"/>
              </a:solidFill>
              <a:round/>
            </a:ln>
            <a:effectLst/>
          </c:spPr>
          <c:marker>
            <c:symbol val="none"/>
          </c:marker>
          <c:cat>
            <c:strRef>
              <c:f>Pivot!$A$19:$A$24</c:f>
              <c:strCache>
                <c:ptCount val="5"/>
                <c:pt idx="0">
                  <c:v>0-1 Miles</c:v>
                </c:pt>
                <c:pt idx="1">
                  <c:v>1-2 Miles</c:v>
                </c:pt>
                <c:pt idx="2">
                  <c:v>2-5 Miles</c:v>
                </c:pt>
                <c:pt idx="3">
                  <c:v>5-10 Miles</c:v>
                </c:pt>
                <c:pt idx="4">
                  <c:v>More than 10 Miles</c:v>
                </c:pt>
              </c:strCache>
            </c:strRef>
          </c:cat>
          <c:val>
            <c:numRef>
              <c:f>Pivot!$B$19:$B$24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52A-42B5-9828-F2B7005F2866}"/>
            </c:ext>
          </c:extLst>
        </c:ser>
        <c:ser>
          <c:idx val="1"/>
          <c:order val="1"/>
          <c:tx>
            <c:strRef>
              <c:f>Pivot!$C$17:$C$18</c:f>
              <c:strCache>
                <c:ptCount val="1"/>
                <c:pt idx="0">
                  <c:v>Yes</c:v>
                </c:pt>
              </c:strCache>
            </c:strRef>
          </c:tx>
          <c:spPr>
            <a:ln w="28575" cap="rnd">
              <a:solidFill>
                <a:schemeClr val="accent2"/>
              </a:solidFill>
              <a:round/>
            </a:ln>
            <a:effectLst/>
          </c:spPr>
          <c:marker>
            <c:symbol val="none"/>
          </c:marker>
          <c:cat>
            <c:strRef>
              <c:f>Pivot!$A$19:$A$24</c:f>
              <c:strCache>
                <c:ptCount val="5"/>
                <c:pt idx="0">
                  <c:v>0-1 Miles</c:v>
                </c:pt>
                <c:pt idx="1">
                  <c:v>1-2 Miles</c:v>
                </c:pt>
                <c:pt idx="2">
                  <c:v>2-5 Miles</c:v>
                </c:pt>
                <c:pt idx="3">
                  <c:v>5-10 Miles</c:v>
                </c:pt>
                <c:pt idx="4">
                  <c:v>More than 10 Miles</c:v>
                </c:pt>
              </c:strCache>
            </c:strRef>
          </c:cat>
          <c:val>
            <c:numRef>
              <c:f>Pivot!$C$19:$C$24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52A-42B5-9828-F2B7005F2866}"/>
            </c:ext>
          </c:extLst>
        </c:ser>
        <c:dLbls>
          <c:showLegendKey val="0"/>
          <c:showVal val="0"/>
          <c:showCatName val="0"/>
          <c:showSerName val="0"/>
          <c:showPercent val="0"/>
          <c:showBubbleSize val="0"/>
        </c:dLbls>
        <c:smooth val="0"/>
        <c:axId val="576283416"/>
        <c:axId val="362947352"/>
      </c:lineChart>
      <c:catAx>
        <c:axId val="576283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47352"/>
        <c:crosses val="autoZero"/>
        <c:auto val="1"/>
        <c:lblAlgn val="ctr"/>
        <c:lblOffset val="100"/>
        <c:noMultiLvlLbl val="0"/>
      </c:catAx>
      <c:valAx>
        <c:axId val="362947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83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Age</a:t>
            </a:r>
            <a:r>
              <a:rPr lang="en-US" baseline="0"/>
              <a:t> Brackets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Pivot!$A$35:$A$38</c:f>
              <c:strCache>
                <c:ptCount val="3"/>
                <c:pt idx="0">
                  <c:v>Adolescent</c:v>
                </c:pt>
                <c:pt idx="1">
                  <c:v>Middle Age</c:v>
                </c:pt>
                <c:pt idx="2">
                  <c:v>Old</c:v>
                </c:pt>
              </c:strCache>
            </c:strRef>
          </c:cat>
          <c:val>
            <c:numRef>
              <c:f>Pivot!$B$35:$B$38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C91F-4A7C-A14B-3B7EF2F8048C}"/>
            </c:ext>
          </c:extLst>
        </c:ser>
        <c:ser>
          <c:idx val="1"/>
          <c:order val="1"/>
          <c:tx>
            <c:strRef>
              <c:f>Pivot!$C$33:$C$34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Pivot!$A$35:$A$38</c:f>
              <c:strCache>
                <c:ptCount val="3"/>
                <c:pt idx="0">
                  <c:v>Adolescent</c:v>
                </c:pt>
                <c:pt idx="1">
                  <c:v>Middle Age</c:v>
                </c:pt>
                <c:pt idx="2">
                  <c:v>Old</c:v>
                </c:pt>
              </c:strCache>
            </c:strRef>
          </c:cat>
          <c:val>
            <c:numRef>
              <c:f>Pivot!$C$35:$C$38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C91F-4A7C-A14B-3B7EF2F8048C}"/>
            </c:ext>
          </c:extLst>
        </c:ser>
        <c:dLbls>
          <c:showLegendKey val="0"/>
          <c:showVal val="0"/>
          <c:showCatName val="0"/>
          <c:showSerName val="0"/>
          <c:showPercent val="0"/>
          <c:showBubbleSize val="0"/>
        </c:dLbls>
        <c:marker val="1"/>
        <c:smooth val="0"/>
        <c:axId val="626122264"/>
        <c:axId val="576274264"/>
      </c:lineChart>
      <c:catAx>
        <c:axId val="626122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74264"/>
        <c:crosses val="autoZero"/>
        <c:auto val="1"/>
        <c:lblAlgn val="ctr"/>
        <c:lblOffset val="100"/>
        <c:noMultiLvlLbl val="0"/>
      </c:catAx>
      <c:valAx>
        <c:axId val="576274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122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Pivot!$B$49:$B$50</c:f>
              <c:strCache>
                <c:ptCount val="1"/>
                <c:pt idx="0">
                  <c:v>No</c:v>
                </c:pt>
              </c:strCache>
            </c:strRef>
          </c:tx>
          <c:spPr>
            <a:ln w="28575" cap="rnd">
              <a:solidFill>
                <a:schemeClr val="accent1"/>
              </a:solidFill>
              <a:round/>
            </a:ln>
            <a:effectLst/>
          </c:spPr>
          <c:marker>
            <c:symbol val="none"/>
          </c:marker>
          <c:cat>
            <c:strRef>
              <c:f>Pivot!$A$51:$A$104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Pivot!$B$51:$B$104</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7BC-4529-8A8D-9356E06AB1BB}"/>
            </c:ext>
          </c:extLst>
        </c:ser>
        <c:ser>
          <c:idx val="1"/>
          <c:order val="1"/>
          <c:tx>
            <c:strRef>
              <c:f>Pivot!$C$49:$C$50</c:f>
              <c:strCache>
                <c:ptCount val="1"/>
                <c:pt idx="0">
                  <c:v>Yes</c:v>
                </c:pt>
              </c:strCache>
            </c:strRef>
          </c:tx>
          <c:spPr>
            <a:ln w="28575" cap="rnd">
              <a:solidFill>
                <a:schemeClr val="accent2"/>
              </a:solidFill>
              <a:round/>
            </a:ln>
            <a:effectLst/>
          </c:spPr>
          <c:marker>
            <c:symbol val="none"/>
          </c:marker>
          <c:cat>
            <c:strRef>
              <c:f>Pivot!$A$51:$A$104</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Pivot!$C$51:$C$104</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7BC-4529-8A8D-9356E06AB1BB}"/>
            </c:ext>
          </c:extLst>
        </c:ser>
        <c:dLbls>
          <c:showLegendKey val="0"/>
          <c:showVal val="0"/>
          <c:showCatName val="0"/>
          <c:showSerName val="0"/>
          <c:showPercent val="0"/>
          <c:showBubbleSize val="0"/>
        </c:dLbls>
        <c:smooth val="0"/>
        <c:axId val="576270392"/>
        <c:axId val="576272504"/>
      </c:lineChart>
      <c:catAx>
        <c:axId val="576270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72504"/>
        <c:crosses val="autoZero"/>
        <c:auto val="1"/>
        <c:lblAlgn val="ctr"/>
        <c:lblOffset val="100"/>
        <c:noMultiLvlLbl val="0"/>
      </c:catAx>
      <c:valAx>
        <c:axId val="576272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70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Income by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53440</c:v>
                </c:pt>
                <c:pt idx="1">
                  <c:v>56208.178438661707</c:v>
                </c:pt>
              </c:numCache>
            </c:numRef>
          </c:val>
          <c:extLst>
            <c:ext xmlns:c16="http://schemas.microsoft.com/office/drawing/2014/chart" uri="{C3380CC4-5D6E-409C-BE32-E72D297353CC}">
              <c16:uniqueId val="{00000000-03F0-4C34-9646-F8C25235B8B9}"/>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55774.058577405856</c:v>
                </c:pt>
                <c:pt idx="1">
                  <c:v>60123.966942148763</c:v>
                </c:pt>
              </c:numCache>
            </c:numRef>
          </c:val>
          <c:extLst>
            <c:ext xmlns:c16="http://schemas.microsoft.com/office/drawing/2014/chart" uri="{C3380CC4-5D6E-409C-BE32-E72D297353CC}">
              <c16:uniqueId val="{00000001-03F0-4C34-9646-F8C25235B8B9}"/>
            </c:ext>
          </c:extLst>
        </c:ser>
        <c:dLbls>
          <c:dLblPos val="outEnd"/>
          <c:showLegendKey val="0"/>
          <c:showVal val="0"/>
          <c:showCatName val="0"/>
          <c:showSerName val="0"/>
          <c:showPercent val="0"/>
          <c:showBubbleSize val="0"/>
        </c:dLbls>
        <c:gapWidth val="219"/>
        <c:overlap val="-27"/>
        <c:axId val="362939960"/>
        <c:axId val="362940312"/>
      </c:barChart>
      <c:catAx>
        <c:axId val="362939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40312"/>
        <c:crosses val="autoZero"/>
        <c:auto val="1"/>
        <c:lblAlgn val="ctr"/>
        <c:lblOffset val="100"/>
        <c:noMultiLvlLbl val="0"/>
      </c:catAx>
      <c:valAx>
        <c:axId val="36294031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399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Distribution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Pivot!$B$33:$B$34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Pivot!$A$35:$A$38</c:f>
              <c:strCache>
                <c:ptCount val="3"/>
                <c:pt idx="0">
                  <c:v>Adolescent</c:v>
                </c:pt>
                <c:pt idx="1">
                  <c:v>Middle Age</c:v>
                </c:pt>
                <c:pt idx="2">
                  <c:v>Old</c:v>
                </c:pt>
              </c:strCache>
            </c:strRef>
          </c:cat>
          <c:val>
            <c:numRef>
              <c:f>Pivot!$B$35:$B$38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ED43-4D80-8813-A5F7FCF4B5CD}"/>
            </c:ext>
          </c:extLst>
        </c:ser>
        <c:ser>
          <c:idx val="1"/>
          <c:order val="1"/>
          <c:tx>
            <c:strRef>
              <c:f>Pivot!$C$33:$C$34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Pivot!$A$35:$A$38</c:f>
              <c:strCache>
                <c:ptCount val="3"/>
                <c:pt idx="0">
                  <c:v>Adolescent</c:v>
                </c:pt>
                <c:pt idx="1">
                  <c:v>Middle Age</c:v>
                </c:pt>
                <c:pt idx="2">
                  <c:v>Old</c:v>
                </c:pt>
              </c:strCache>
            </c:strRef>
          </c:cat>
          <c:val>
            <c:numRef>
              <c:f>Pivot!$C$35:$C$38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ED43-4D80-8813-A5F7FCF4B5CD}"/>
            </c:ext>
          </c:extLst>
        </c:ser>
        <c:dLbls>
          <c:showLegendKey val="0"/>
          <c:showVal val="0"/>
          <c:showCatName val="0"/>
          <c:showSerName val="0"/>
          <c:showPercent val="0"/>
          <c:showBubbleSize val="0"/>
        </c:dLbls>
        <c:marker val="1"/>
        <c:smooth val="0"/>
        <c:axId val="626122264"/>
        <c:axId val="576274264"/>
      </c:lineChart>
      <c:catAx>
        <c:axId val="6261222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74264"/>
        <c:crosses val="autoZero"/>
        <c:auto val="1"/>
        <c:lblAlgn val="ctr"/>
        <c:lblOffset val="100"/>
        <c:noMultiLvlLbl val="0"/>
      </c:catAx>
      <c:valAx>
        <c:axId val="576274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6122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Purchases by Commute Distance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Pivot!$B$17:$B$18</c:f>
              <c:strCache>
                <c:ptCount val="1"/>
                <c:pt idx="0">
                  <c:v>No</c:v>
                </c:pt>
              </c:strCache>
            </c:strRef>
          </c:tx>
          <c:spPr>
            <a:ln w="28575" cap="rnd">
              <a:solidFill>
                <a:schemeClr val="accent1"/>
              </a:solidFill>
              <a:round/>
            </a:ln>
            <a:effectLst/>
          </c:spPr>
          <c:marker>
            <c:symbol val="none"/>
          </c:marker>
          <c:cat>
            <c:strRef>
              <c:f>Pivot!$A$19:$A$24</c:f>
              <c:strCache>
                <c:ptCount val="5"/>
                <c:pt idx="0">
                  <c:v>0-1 Miles</c:v>
                </c:pt>
                <c:pt idx="1">
                  <c:v>1-2 Miles</c:v>
                </c:pt>
                <c:pt idx="2">
                  <c:v>2-5 Miles</c:v>
                </c:pt>
                <c:pt idx="3">
                  <c:v>5-10 Miles</c:v>
                </c:pt>
                <c:pt idx="4">
                  <c:v>More than 10 Miles</c:v>
                </c:pt>
              </c:strCache>
            </c:strRef>
          </c:cat>
          <c:val>
            <c:numRef>
              <c:f>Pivot!$B$19:$B$24</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86D-43DB-BE6E-ECC1DB66E1AC}"/>
            </c:ext>
          </c:extLst>
        </c:ser>
        <c:ser>
          <c:idx val="1"/>
          <c:order val="1"/>
          <c:tx>
            <c:strRef>
              <c:f>Pivot!$C$17:$C$18</c:f>
              <c:strCache>
                <c:ptCount val="1"/>
                <c:pt idx="0">
                  <c:v>Yes</c:v>
                </c:pt>
              </c:strCache>
            </c:strRef>
          </c:tx>
          <c:spPr>
            <a:ln w="28575" cap="rnd">
              <a:solidFill>
                <a:schemeClr val="accent2"/>
              </a:solidFill>
              <a:round/>
            </a:ln>
            <a:effectLst/>
          </c:spPr>
          <c:marker>
            <c:symbol val="none"/>
          </c:marker>
          <c:cat>
            <c:strRef>
              <c:f>Pivot!$A$19:$A$24</c:f>
              <c:strCache>
                <c:ptCount val="5"/>
                <c:pt idx="0">
                  <c:v>0-1 Miles</c:v>
                </c:pt>
                <c:pt idx="1">
                  <c:v>1-2 Miles</c:v>
                </c:pt>
                <c:pt idx="2">
                  <c:v>2-5 Miles</c:v>
                </c:pt>
                <c:pt idx="3">
                  <c:v>5-10 Miles</c:v>
                </c:pt>
                <c:pt idx="4">
                  <c:v>More than 10 Miles</c:v>
                </c:pt>
              </c:strCache>
            </c:strRef>
          </c:cat>
          <c:val>
            <c:numRef>
              <c:f>Pivot!$C$19:$C$24</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86D-43DB-BE6E-ECC1DB66E1AC}"/>
            </c:ext>
          </c:extLst>
        </c:ser>
        <c:dLbls>
          <c:showLegendKey val="0"/>
          <c:showVal val="0"/>
          <c:showCatName val="0"/>
          <c:showSerName val="0"/>
          <c:showPercent val="0"/>
          <c:showBubbleSize val="0"/>
        </c:dLbls>
        <c:smooth val="0"/>
        <c:axId val="576283416"/>
        <c:axId val="362947352"/>
      </c:lineChart>
      <c:catAx>
        <c:axId val="5762834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2947352"/>
        <c:crosses val="autoZero"/>
        <c:auto val="1"/>
        <c:lblAlgn val="ctr"/>
        <c:lblOffset val="100"/>
        <c:noMultiLvlLbl val="0"/>
      </c:catAx>
      <c:valAx>
        <c:axId val="3629473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83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304800</xdr:colOff>
      <xdr:row>0</xdr:row>
      <xdr:rowOff>87630</xdr:rowOff>
    </xdr:from>
    <xdr:to>
      <xdr:col>12</xdr:col>
      <xdr:colOff>0</xdr:colOff>
      <xdr:row>13</xdr:row>
      <xdr:rowOff>175260</xdr:rowOff>
    </xdr:to>
    <xdr:graphicFrame macro="">
      <xdr:nvGraphicFramePr>
        <xdr:cNvPr id="2" name="Chart 1">
          <a:extLst>
            <a:ext uri="{FF2B5EF4-FFF2-40B4-BE49-F238E27FC236}">
              <a16:creationId xmlns:a16="http://schemas.microsoft.com/office/drawing/2014/main" id="{1DE9F47A-7924-2E63-ADFF-3FE0BE1B6B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297180</xdr:colOff>
      <xdr:row>14</xdr:row>
      <xdr:rowOff>95250</xdr:rowOff>
    </xdr:from>
    <xdr:to>
      <xdr:col>11</xdr:col>
      <xdr:colOff>601980</xdr:colOff>
      <xdr:row>29</xdr:row>
      <xdr:rowOff>95250</xdr:rowOff>
    </xdr:to>
    <xdr:graphicFrame macro="">
      <xdr:nvGraphicFramePr>
        <xdr:cNvPr id="3" name="Chart 2">
          <a:extLst>
            <a:ext uri="{FF2B5EF4-FFF2-40B4-BE49-F238E27FC236}">
              <a16:creationId xmlns:a16="http://schemas.microsoft.com/office/drawing/2014/main" id="{36676906-64A3-AF03-7354-53162B8E6C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312420</xdr:colOff>
      <xdr:row>30</xdr:row>
      <xdr:rowOff>125730</xdr:rowOff>
    </xdr:from>
    <xdr:to>
      <xdr:col>12</xdr:col>
      <xdr:colOff>7620</xdr:colOff>
      <xdr:row>45</xdr:row>
      <xdr:rowOff>125730</xdr:rowOff>
    </xdr:to>
    <xdr:graphicFrame macro="">
      <xdr:nvGraphicFramePr>
        <xdr:cNvPr id="4" name="Chart 3">
          <a:extLst>
            <a:ext uri="{FF2B5EF4-FFF2-40B4-BE49-F238E27FC236}">
              <a16:creationId xmlns:a16="http://schemas.microsoft.com/office/drawing/2014/main" id="{BDD57CD4-8801-1E5B-925C-F5209DCCA1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365760</xdr:colOff>
      <xdr:row>48</xdr:row>
      <xdr:rowOff>49530</xdr:rowOff>
    </xdr:from>
    <xdr:to>
      <xdr:col>14</xdr:col>
      <xdr:colOff>487680</xdr:colOff>
      <xdr:row>63</xdr:row>
      <xdr:rowOff>49530</xdr:rowOff>
    </xdr:to>
    <xdr:graphicFrame macro="">
      <xdr:nvGraphicFramePr>
        <xdr:cNvPr id="5" name="Chart 4">
          <a:extLst>
            <a:ext uri="{FF2B5EF4-FFF2-40B4-BE49-F238E27FC236}">
              <a16:creationId xmlns:a16="http://schemas.microsoft.com/office/drawing/2014/main" id="{42DE7902-D49C-9844-E694-06DDA5682E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11546</xdr:colOff>
      <xdr:row>4</xdr:row>
      <xdr:rowOff>22860</xdr:rowOff>
    </xdr:from>
    <xdr:to>
      <xdr:col>10</xdr:col>
      <xdr:colOff>300182</xdr:colOff>
      <xdr:row>17</xdr:row>
      <xdr:rowOff>152400</xdr:rowOff>
    </xdr:to>
    <xdr:graphicFrame macro="">
      <xdr:nvGraphicFramePr>
        <xdr:cNvPr id="2" name="Chart 1">
          <a:extLst>
            <a:ext uri="{FF2B5EF4-FFF2-40B4-BE49-F238E27FC236}">
              <a16:creationId xmlns:a16="http://schemas.microsoft.com/office/drawing/2014/main" id="{377254D7-DF9B-46AC-BA0F-4854EFF9E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320040</xdr:colOff>
      <xdr:row>4</xdr:row>
      <xdr:rowOff>22860</xdr:rowOff>
    </xdr:from>
    <xdr:to>
      <xdr:col>17</xdr:col>
      <xdr:colOff>608676</xdr:colOff>
      <xdr:row>17</xdr:row>
      <xdr:rowOff>152400</xdr:rowOff>
    </xdr:to>
    <xdr:graphicFrame macro="">
      <xdr:nvGraphicFramePr>
        <xdr:cNvPr id="4" name="Chart 3">
          <a:extLst>
            <a:ext uri="{FF2B5EF4-FFF2-40B4-BE49-F238E27FC236}">
              <a16:creationId xmlns:a16="http://schemas.microsoft.com/office/drawing/2014/main" id="{B7A398DE-F4AA-42EE-B21A-7BB8B9CA8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12468</xdr:colOff>
      <xdr:row>17</xdr:row>
      <xdr:rowOff>156326</xdr:rowOff>
    </xdr:from>
    <xdr:to>
      <xdr:col>18</xdr:col>
      <xdr:colOff>5263</xdr:colOff>
      <xdr:row>31</xdr:row>
      <xdr:rowOff>103032</xdr:rowOff>
    </xdr:to>
    <xdr:graphicFrame macro="">
      <xdr:nvGraphicFramePr>
        <xdr:cNvPr id="5" name="Chart 4">
          <a:extLst>
            <a:ext uri="{FF2B5EF4-FFF2-40B4-BE49-F238E27FC236}">
              <a16:creationId xmlns:a16="http://schemas.microsoft.com/office/drawing/2014/main" id="{67B1169D-7C7F-9B08-4BE0-9BB9D207F8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xdr:row>
      <xdr:rowOff>31171</xdr:rowOff>
    </xdr:from>
    <xdr:to>
      <xdr:col>2</xdr:col>
      <xdr:colOff>604982</xdr:colOff>
      <xdr:row>9</xdr:row>
      <xdr:rowOff>23089</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22597FE4-938F-50FA-C38A-C95256B305E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781626"/>
              <a:ext cx="1828800" cy="9155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145242</xdr:rowOff>
    </xdr:from>
    <xdr:to>
      <xdr:col>2</xdr:col>
      <xdr:colOff>604982</xdr:colOff>
      <xdr:row>24</xdr:row>
      <xdr:rowOff>69274</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E692FF4F-175D-8A22-F383-7223F1C6063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927697"/>
              <a:ext cx="1828800" cy="1586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9</xdr:row>
      <xdr:rowOff>59576</xdr:rowOff>
    </xdr:from>
    <xdr:to>
      <xdr:col>2</xdr:col>
      <xdr:colOff>604982</xdr:colOff>
      <xdr:row>15</xdr:row>
      <xdr:rowOff>92365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2C2E6D0F-4AEA-27F9-11A0-F40C9FB018B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733667"/>
              <a:ext cx="1828800" cy="11411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use pek" refreshedDate="46025.004951273149" createdVersion="8" refreshedVersion="8" minRefreshableVersion="3" recordCount="1000" xr:uid="{20333CC9-2EDC-451F-8900-AEC86C57A1CC}">
  <cacheSource type="worksheet">
    <worksheetSource ref="A1:N1001"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572778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5A7B7F-3595-476D-B577-93CF2BBC61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CD3C7FB-66AC-40C6-9451-EFBBF9F3AB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A1C976-97C9-41F3-B660-D7A6E6D927B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9:D104"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8DD7096-82F9-4410-9FF2-D077E8FA150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0"/>
          </reference>
        </references>
      </pivotArea>
    </chartFormat>
    <chartFormat chart="1" format="3"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409EA7D-60E6-40F1-9FBE-02B774135E5F}" sourceName="Marital Status">
  <pivotTables>
    <pivotTable tabId="2" name="PivotTable1"/>
    <pivotTable tabId="2" name="PivotTable2"/>
    <pivotTable tabId="2" name="PivotTable3"/>
    <pivotTable tabId="2" name="PivotTable4"/>
  </pivotTables>
  <data>
    <tabular pivotCacheId="185727785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EDC3F01-D5CD-4675-97E2-36D9516A702E}" sourceName="Education">
  <pivotTables>
    <pivotTable tabId="2" name="PivotTable3"/>
    <pivotTable tabId="2" name="PivotTable1"/>
    <pivotTable tabId="2" name="PivotTable2"/>
    <pivotTable tabId="2" name="PivotTable4"/>
  </pivotTables>
  <data>
    <tabular pivotCacheId="185727785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A8FFA52-D63A-48F3-801F-B961156E058A}" sourceName="Region">
  <pivotTables>
    <pivotTable tabId="2" name="PivotTable3"/>
    <pivotTable tabId="2" name="PivotTable1"/>
    <pivotTable tabId="2" name="PivotTable2"/>
    <pivotTable tabId="2" name="PivotTable4"/>
  </pivotTables>
  <data>
    <tabular pivotCacheId="1857277855">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7E64756-D633-4B3C-A86D-381E0C5F8E2C}" cache="Slicer_Marital_Status" caption="Marital Status" style="SlicerStyleOther2" rowHeight="234950"/>
  <slicer name="Education" xr10:uid="{A2001E50-250C-4219-86D0-3C1B8CA43268}" cache="Slicer_Education" caption="Education" rowHeight="234950"/>
  <slicer name="Region" xr10:uid="{AF6A4102-561B-47F3-ABF2-147FDB05893C}"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C1" workbookViewId="0">
      <selection activeCell="A2" sqref="A1:XFD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09AF0-3B3B-4A37-9E1F-C6CC169E44DA}">
  <dimension ref="A1:N1001"/>
  <sheetViews>
    <sheetView topLeftCell="A418" workbookViewId="0">
      <selection activeCell="N11" sqref="N11"/>
    </sheetView>
  </sheetViews>
  <sheetFormatPr defaultColWidth="11.88671875" defaultRowHeight="14.4" x14ac:dyDescent="0.3"/>
  <cols>
    <col min="1" max="1" width="15.88671875" customWidth="1"/>
    <col min="2" max="2" width="15.21875" customWidth="1"/>
    <col min="4" max="4" width="11.88671875" style="3"/>
    <col min="6" max="6" width="17" customWidth="1"/>
    <col min="7" max="7" width="17.21875" customWidth="1"/>
    <col min="10" max="10" width="18.6640625" customWidth="1"/>
    <col min="13" max="13" width="1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39</v>
      </c>
      <c r="D2" s="3">
        <v>40000</v>
      </c>
      <c r="E2">
        <v>1</v>
      </c>
      <c r="F2" t="s">
        <v>13</v>
      </c>
      <c r="G2" t="s">
        <v>14</v>
      </c>
      <c r="H2" t="s">
        <v>15</v>
      </c>
      <c r="I2">
        <v>0</v>
      </c>
      <c r="J2" t="s">
        <v>16</v>
      </c>
      <c r="K2" t="s">
        <v>17</v>
      </c>
      <c r="L2">
        <v>42</v>
      </c>
      <c r="M2" t="str">
        <f>IF(L2&gt;54, "Old 54+",IF(L2&gt;=31, "Middle Age 31-54", IF(L2&lt;31, "Adolescent 0-30", "Invalid")))</f>
        <v>Middle Age 31-54</v>
      </c>
      <c r="N2" t="s">
        <v>18</v>
      </c>
    </row>
    <row r="3" spans="1:14" x14ac:dyDescent="0.3">
      <c r="A3">
        <v>24107</v>
      </c>
      <c r="B3" t="s">
        <v>36</v>
      </c>
      <c r="C3" t="s">
        <v>38</v>
      </c>
      <c r="D3" s="3">
        <v>30000</v>
      </c>
      <c r="E3">
        <v>3</v>
      </c>
      <c r="F3" t="s">
        <v>19</v>
      </c>
      <c r="G3" t="s">
        <v>20</v>
      </c>
      <c r="H3" t="s">
        <v>15</v>
      </c>
      <c r="I3">
        <v>1</v>
      </c>
      <c r="J3" t="s">
        <v>16</v>
      </c>
      <c r="K3" t="s">
        <v>17</v>
      </c>
      <c r="L3">
        <v>43</v>
      </c>
      <c r="M3" t="str">
        <f t="shared" ref="M3:M66" si="0">IF(L3&gt;54, "Old",IF(L3&gt;=31, "Middle Age", IF(L3&lt;31, "Adolescent", "Invalid")))</f>
        <v>Middle Age</v>
      </c>
      <c r="N3" t="s">
        <v>18</v>
      </c>
    </row>
    <row r="4" spans="1:14" x14ac:dyDescent="0.3">
      <c r="A4">
        <v>14177</v>
      </c>
      <c r="B4" t="s">
        <v>36</v>
      </c>
      <c r="C4" t="s">
        <v>38</v>
      </c>
      <c r="D4" s="3">
        <v>80000</v>
      </c>
      <c r="E4">
        <v>5</v>
      </c>
      <c r="F4" t="s">
        <v>19</v>
      </c>
      <c r="G4" t="s">
        <v>21</v>
      </c>
      <c r="H4" t="s">
        <v>18</v>
      </c>
      <c r="I4">
        <v>2</v>
      </c>
      <c r="J4" t="s">
        <v>22</v>
      </c>
      <c r="K4" t="s">
        <v>17</v>
      </c>
      <c r="L4">
        <v>60</v>
      </c>
      <c r="M4" t="str">
        <f t="shared" si="0"/>
        <v>Old</v>
      </c>
      <c r="N4" t="s">
        <v>18</v>
      </c>
    </row>
    <row r="5" spans="1:14" x14ac:dyDescent="0.3">
      <c r="A5">
        <v>24381</v>
      </c>
      <c r="B5" t="s">
        <v>37</v>
      </c>
      <c r="C5" t="s">
        <v>38</v>
      </c>
      <c r="D5" s="3">
        <v>70000</v>
      </c>
      <c r="E5">
        <v>0</v>
      </c>
      <c r="F5" t="s">
        <v>13</v>
      </c>
      <c r="G5" t="s">
        <v>21</v>
      </c>
      <c r="H5" t="s">
        <v>15</v>
      </c>
      <c r="I5">
        <v>1</v>
      </c>
      <c r="J5" t="s">
        <v>23</v>
      </c>
      <c r="K5" t="s">
        <v>24</v>
      </c>
      <c r="L5">
        <v>41</v>
      </c>
      <c r="M5" t="str">
        <f t="shared" si="0"/>
        <v>Middle Age</v>
      </c>
      <c r="N5" t="s">
        <v>15</v>
      </c>
    </row>
    <row r="6" spans="1:14" x14ac:dyDescent="0.3">
      <c r="A6">
        <v>25597</v>
      </c>
      <c r="B6" t="s">
        <v>37</v>
      </c>
      <c r="C6" t="s">
        <v>38</v>
      </c>
      <c r="D6" s="3">
        <v>30000</v>
      </c>
      <c r="E6">
        <v>0</v>
      </c>
      <c r="F6" t="s">
        <v>13</v>
      </c>
      <c r="G6" t="s">
        <v>20</v>
      </c>
      <c r="H6" t="s">
        <v>18</v>
      </c>
      <c r="I6">
        <v>0</v>
      </c>
      <c r="J6" t="s">
        <v>16</v>
      </c>
      <c r="K6" t="s">
        <v>17</v>
      </c>
      <c r="L6">
        <v>36</v>
      </c>
      <c r="M6" t="str">
        <f t="shared" si="0"/>
        <v>Middle Age</v>
      </c>
      <c r="N6" t="s">
        <v>15</v>
      </c>
    </row>
    <row r="7" spans="1:14" x14ac:dyDescent="0.3">
      <c r="A7">
        <v>13507</v>
      </c>
      <c r="B7" t="s">
        <v>36</v>
      </c>
      <c r="C7" t="s">
        <v>39</v>
      </c>
      <c r="D7" s="3">
        <v>10000</v>
      </c>
      <c r="E7">
        <v>2</v>
      </c>
      <c r="F7" t="s">
        <v>19</v>
      </c>
      <c r="G7" t="s">
        <v>25</v>
      </c>
      <c r="H7" t="s">
        <v>15</v>
      </c>
      <c r="I7">
        <v>0</v>
      </c>
      <c r="J7" t="s">
        <v>26</v>
      </c>
      <c r="K7" t="s">
        <v>17</v>
      </c>
      <c r="L7">
        <v>50</v>
      </c>
      <c r="M7" t="str">
        <f t="shared" si="0"/>
        <v>Middle Age</v>
      </c>
      <c r="N7" t="s">
        <v>18</v>
      </c>
    </row>
    <row r="8" spans="1:14" x14ac:dyDescent="0.3">
      <c r="A8">
        <v>27974</v>
      </c>
      <c r="B8" t="s">
        <v>37</v>
      </c>
      <c r="C8" t="s">
        <v>38</v>
      </c>
      <c r="D8" s="3">
        <v>160000</v>
      </c>
      <c r="E8">
        <v>2</v>
      </c>
      <c r="F8" t="s">
        <v>27</v>
      </c>
      <c r="G8" t="s">
        <v>28</v>
      </c>
      <c r="H8" t="s">
        <v>15</v>
      </c>
      <c r="I8">
        <v>4</v>
      </c>
      <c r="J8" t="s">
        <v>16</v>
      </c>
      <c r="K8" t="s">
        <v>24</v>
      </c>
      <c r="L8">
        <v>33</v>
      </c>
      <c r="M8" t="str">
        <f t="shared" si="0"/>
        <v>Middle Age</v>
      </c>
      <c r="N8" t="s">
        <v>15</v>
      </c>
    </row>
    <row r="9" spans="1:14" x14ac:dyDescent="0.3">
      <c r="A9">
        <v>19364</v>
      </c>
      <c r="B9" t="s">
        <v>36</v>
      </c>
      <c r="C9" t="s">
        <v>38</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38</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38</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39</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39</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38</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38</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38</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39</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38</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39</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38</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38</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39</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39</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38</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39</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38</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38</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38</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39</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38</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39</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39</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38</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39</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38</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38</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39</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39</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39</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38</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39</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39</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39</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39</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39</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39</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39</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39</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39</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38</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38</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39</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38</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39</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39</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39</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38</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38</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38</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39</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38</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39</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39</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38</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38</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39</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38</v>
      </c>
      <c r="D67" s="3">
        <v>30000</v>
      </c>
      <c r="E67">
        <v>2</v>
      </c>
      <c r="F67" t="s">
        <v>19</v>
      </c>
      <c r="G67" t="s">
        <v>20</v>
      </c>
      <c r="H67" t="s">
        <v>15</v>
      </c>
      <c r="I67">
        <v>2</v>
      </c>
      <c r="J67" t="s">
        <v>23</v>
      </c>
      <c r="K67" t="s">
        <v>24</v>
      </c>
      <c r="L67">
        <v>68</v>
      </c>
      <c r="M67" t="str">
        <f t="shared" ref="M67:M130" si="1">IF(L67&gt;54, "Old",IF(L67&gt;=31, "Middle Age", IF(L67&lt;31, "Adolescent", "Invalid")))</f>
        <v>Old</v>
      </c>
      <c r="N67" t="s">
        <v>18</v>
      </c>
    </row>
    <row r="68" spans="1:14" x14ac:dyDescent="0.3">
      <c r="A68">
        <v>29355</v>
      </c>
      <c r="B68" t="s">
        <v>36</v>
      </c>
      <c r="C68" t="s">
        <v>39</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38</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39</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39</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38</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39</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39</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39</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39</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39</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39</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38</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38</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38</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39</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39</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38</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38</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38</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38</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38</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38</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38</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38</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39</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38</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39</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39</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39</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39</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38</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38</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38</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39</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38</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38</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38</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38</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39</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39</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38</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39</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39</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38</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39</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39</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39</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39</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38</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38</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39</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39</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38</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39</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39</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38</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39</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39</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39</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38</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38</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38</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38</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38</v>
      </c>
      <c r="D131" s="3">
        <v>10000</v>
      </c>
      <c r="E131">
        <v>3</v>
      </c>
      <c r="F131" t="s">
        <v>27</v>
      </c>
      <c r="G131" t="s">
        <v>25</v>
      </c>
      <c r="H131" t="s">
        <v>15</v>
      </c>
      <c r="I131">
        <v>1</v>
      </c>
      <c r="J131" t="s">
        <v>16</v>
      </c>
      <c r="K131" t="s">
        <v>17</v>
      </c>
      <c r="L131">
        <v>39</v>
      </c>
      <c r="M131" t="str">
        <f t="shared" ref="M131:M194" si="2">IF(L131&gt;54, "Old",IF(L131&gt;=31, "Middle Age", IF(L131&lt;31, "Adolescent", "Invalid")))</f>
        <v>Middle Age</v>
      </c>
      <c r="N131" t="s">
        <v>15</v>
      </c>
    </row>
    <row r="132" spans="1:14" x14ac:dyDescent="0.3">
      <c r="A132">
        <v>12993</v>
      </c>
      <c r="B132" t="s">
        <v>36</v>
      </c>
      <c r="C132" t="s">
        <v>38</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38</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38</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38</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39</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38</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39</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38</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39</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39</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38</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39</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38</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39</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38</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39</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38</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39</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38</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38</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38</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38</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39</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38</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38</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39</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39</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38</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39</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39</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39</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39</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39</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38</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38</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39</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38</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38</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38</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38</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39</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39</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38</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39</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38</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39</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39</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39</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38</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39</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38</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39</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39</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38</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39</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39</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39</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38</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39</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38</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38</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38</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39</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39</v>
      </c>
      <c r="D195" s="3">
        <v>70000</v>
      </c>
      <c r="E195">
        <v>5</v>
      </c>
      <c r="F195" t="s">
        <v>13</v>
      </c>
      <c r="G195" t="s">
        <v>21</v>
      </c>
      <c r="H195" t="s">
        <v>15</v>
      </c>
      <c r="I195">
        <v>4</v>
      </c>
      <c r="J195" t="s">
        <v>46</v>
      </c>
      <c r="K195" t="s">
        <v>24</v>
      </c>
      <c r="L195">
        <v>41</v>
      </c>
      <c r="M195" t="str">
        <f t="shared" ref="M195:M258" si="3">IF(L195&gt;54, "Old",IF(L195&gt;=31, "Middle Age", IF(L195&lt;31, "Adolescent", "Invalid")))</f>
        <v>Middle Age</v>
      </c>
      <c r="N195" t="s">
        <v>18</v>
      </c>
    </row>
    <row r="196" spans="1:14" x14ac:dyDescent="0.3">
      <c r="A196">
        <v>17843</v>
      </c>
      <c r="B196" t="s">
        <v>37</v>
      </c>
      <c r="C196" t="s">
        <v>39</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38</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39</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38</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39</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38</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38</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38</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38</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39</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39</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38</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38</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39</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39</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39</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39</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39</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39</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38</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38</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38</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38</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39</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38</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38</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38</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38</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39</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39</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39</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38</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39</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38</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39</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38</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38</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39</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39</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38</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38</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39</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39</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39</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38</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39</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38</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39</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38</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39</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39</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38</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39</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39</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39</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38</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38</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38</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38</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38</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38</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39</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38</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39</v>
      </c>
      <c r="D259" s="3">
        <v>50000</v>
      </c>
      <c r="E259">
        <v>0</v>
      </c>
      <c r="F259" t="s">
        <v>31</v>
      </c>
      <c r="G259" t="s">
        <v>14</v>
      </c>
      <c r="H259" t="s">
        <v>15</v>
      </c>
      <c r="I259">
        <v>0</v>
      </c>
      <c r="J259" t="s">
        <v>16</v>
      </c>
      <c r="K259" t="s">
        <v>17</v>
      </c>
      <c r="L259">
        <v>36</v>
      </c>
      <c r="M259" t="str">
        <f t="shared" ref="M259:M322" si="4">IF(L259&gt;54, "Old",IF(L259&gt;=31, "Middle Age", IF(L259&lt;31, "Adolescent", "Invalid")))</f>
        <v>Middle Age</v>
      </c>
      <c r="N259" t="s">
        <v>15</v>
      </c>
    </row>
    <row r="260" spans="1:14" x14ac:dyDescent="0.3">
      <c r="A260">
        <v>14193</v>
      </c>
      <c r="B260" t="s">
        <v>37</v>
      </c>
      <c r="C260" t="s">
        <v>39</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38</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39</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39</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39</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39</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38</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39</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39</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38</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38</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39</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39</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39</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38</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39</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39</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39</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39</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39</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38</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38</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39</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38</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38</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39</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38</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39</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39</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39</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38</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38</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39</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38</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39</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39</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38</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39</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39</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38</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39</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39</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39</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39</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38</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39</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38</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38</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38</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38</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38</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39</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38</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38</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38</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38</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38</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38</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38</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38</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38</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39</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38</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39</v>
      </c>
      <c r="D323" s="3">
        <v>160000</v>
      </c>
      <c r="E323">
        <v>0</v>
      </c>
      <c r="F323" t="s">
        <v>31</v>
      </c>
      <c r="G323" t="s">
        <v>28</v>
      </c>
      <c r="H323" t="s">
        <v>18</v>
      </c>
      <c r="I323">
        <v>3</v>
      </c>
      <c r="J323" t="s">
        <v>16</v>
      </c>
      <c r="K323" t="s">
        <v>24</v>
      </c>
      <c r="L323">
        <v>47</v>
      </c>
      <c r="M323" t="str">
        <f t="shared" ref="M323:M386" si="5">IF(L323&gt;54, "Old",IF(L323&gt;=31, "Middle Age", IF(L323&lt;31, "Adolescent", "Invalid")))</f>
        <v>Middle Age</v>
      </c>
      <c r="N323" t="s">
        <v>15</v>
      </c>
    </row>
    <row r="324" spans="1:14" x14ac:dyDescent="0.3">
      <c r="A324">
        <v>16410</v>
      </c>
      <c r="B324" t="s">
        <v>37</v>
      </c>
      <c r="C324" t="s">
        <v>39</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39</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38</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38</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39</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38</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38</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39</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39</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38</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39</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38</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38</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38</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38</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38</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39</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38</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38</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39</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38</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39</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38</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39</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38</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39</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38</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39</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38</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38</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39</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38</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38</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38</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39</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39</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38</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38</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38</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39</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38</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39</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39</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39</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38</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39</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39</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39</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39</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38</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38</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38</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39</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39</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38</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38</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38</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38</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38</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39</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38</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38</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39</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38</v>
      </c>
      <c r="D387" s="3">
        <v>30000</v>
      </c>
      <c r="E387">
        <v>3</v>
      </c>
      <c r="F387" t="s">
        <v>19</v>
      </c>
      <c r="G387" t="s">
        <v>20</v>
      </c>
      <c r="H387" t="s">
        <v>15</v>
      </c>
      <c r="I387">
        <v>0</v>
      </c>
      <c r="J387" t="s">
        <v>16</v>
      </c>
      <c r="K387" t="s">
        <v>17</v>
      </c>
      <c r="L387">
        <v>43</v>
      </c>
      <c r="M387" t="str">
        <f t="shared" ref="M387:M450" si="6">IF(L387&gt;54, "Old",IF(L387&gt;=31, "Middle Age", IF(L387&lt;31, "Adolescent", "Invalid")))</f>
        <v>Middle Age</v>
      </c>
      <c r="N387" t="s">
        <v>18</v>
      </c>
    </row>
    <row r="388" spans="1:14" x14ac:dyDescent="0.3">
      <c r="A388">
        <v>28957</v>
      </c>
      <c r="B388" t="s">
        <v>37</v>
      </c>
      <c r="C388" t="s">
        <v>39</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39</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39</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39</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38</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39</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38</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39</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39</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38</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38</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39</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38</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39</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39</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39</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38</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38</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38</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39</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39</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39</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39</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39</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39</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38</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38</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39</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39</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39</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38</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39</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38</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38</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39</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38</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38</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38</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39</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38</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38</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39</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38</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39</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39</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38</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39</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39</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39</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39</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39</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39</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39</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38</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38</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38</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38</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39</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38</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39</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39</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39</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39</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39</v>
      </c>
      <c r="D451" s="3">
        <v>40000</v>
      </c>
      <c r="E451">
        <v>1</v>
      </c>
      <c r="F451" t="s">
        <v>13</v>
      </c>
      <c r="G451" t="s">
        <v>14</v>
      </c>
      <c r="H451" t="s">
        <v>15</v>
      </c>
      <c r="I451">
        <v>0</v>
      </c>
      <c r="J451" t="s">
        <v>16</v>
      </c>
      <c r="K451" t="s">
        <v>17</v>
      </c>
      <c r="L451">
        <v>42</v>
      </c>
      <c r="M451" t="str">
        <f t="shared" ref="M451:M514" si="7">IF(L451&gt;54, "Old",IF(L451&gt;=31, "Middle Age", IF(L451&lt;31, "Adolescent", "Invalid")))</f>
        <v>Middle Age</v>
      </c>
      <c r="N451" t="s">
        <v>18</v>
      </c>
    </row>
    <row r="452" spans="1:14" x14ac:dyDescent="0.3">
      <c r="A452">
        <v>16559</v>
      </c>
      <c r="B452" t="s">
        <v>37</v>
      </c>
      <c r="C452" t="s">
        <v>39</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39</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39</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39</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38</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39</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38</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39</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38</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39</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38</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39</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39</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38</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39</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38</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39</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38</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39</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39</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38</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38</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39</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39</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39</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38</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39</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38</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38</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38</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39</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39</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38</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38</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39</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38</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39</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38</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39</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38</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38</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38</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39</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38</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38</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38</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39</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39</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38</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39</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38</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39</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38</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39</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38</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38</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39</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39</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38</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38</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38</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38</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39</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39</v>
      </c>
      <c r="D515" s="3">
        <v>60000</v>
      </c>
      <c r="E515">
        <v>4</v>
      </c>
      <c r="F515" t="s">
        <v>31</v>
      </c>
      <c r="G515" t="s">
        <v>28</v>
      </c>
      <c r="H515" t="s">
        <v>15</v>
      </c>
      <c r="I515">
        <v>2</v>
      </c>
      <c r="J515" t="s">
        <v>46</v>
      </c>
      <c r="K515" t="s">
        <v>32</v>
      </c>
      <c r="L515">
        <v>61</v>
      </c>
      <c r="M515" t="str">
        <f t="shared" ref="M515:M578" si="8">IF(L515&gt;54, "Old",IF(L515&gt;=31, "Middle Age", IF(L515&lt;31, "Adolescent", "Invalid")))</f>
        <v>Old</v>
      </c>
      <c r="N515" t="s">
        <v>15</v>
      </c>
    </row>
    <row r="516" spans="1:14" x14ac:dyDescent="0.3">
      <c r="A516">
        <v>19399</v>
      </c>
      <c r="B516" t="s">
        <v>37</v>
      </c>
      <c r="C516" t="s">
        <v>38</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39</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39</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38</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39</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38</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38</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38</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38</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38</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39</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38</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39</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38</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39</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38</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38</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38</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39</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38</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38</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38</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39</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39</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39</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39</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39</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38</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38</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39</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38</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38</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38</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38</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39</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39</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39</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39</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38</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38</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39</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38</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38</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39</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39</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39</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39</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39</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39</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39</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38</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38</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39</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38</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38</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38</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38</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38</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38</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38</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39</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38</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39</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38</v>
      </c>
      <c r="D579" s="3">
        <v>120000</v>
      </c>
      <c r="E579">
        <v>1</v>
      </c>
      <c r="F579" t="s">
        <v>13</v>
      </c>
      <c r="G579" t="s">
        <v>28</v>
      </c>
      <c r="H579" t="s">
        <v>15</v>
      </c>
      <c r="I579">
        <v>4</v>
      </c>
      <c r="J579" t="s">
        <v>16</v>
      </c>
      <c r="K579" t="s">
        <v>32</v>
      </c>
      <c r="L579">
        <v>38</v>
      </c>
      <c r="M579" t="str">
        <f t="shared" ref="M579:M642" si="9">IF(L579&gt;54, "Old",IF(L579&gt;=31, "Middle Age", IF(L579&lt;31, "Adolescent", "Invalid")))</f>
        <v>Middle Age</v>
      </c>
      <c r="N579" t="s">
        <v>18</v>
      </c>
    </row>
    <row r="580" spans="1:14" x14ac:dyDescent="0.3">
      <c r="A580">
        <v>15313</v>
      </c>
      <c r="B580" t="s">
        <v>36</v>
      </c>
      <c r="C580" t="s">
        <v>38</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39</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39</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38</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38</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38</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38</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38</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38</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39</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39</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38</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39</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38</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39</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39</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38</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39</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39</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38</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38</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39</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38</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38</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38</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38</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38</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38</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38</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39</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38</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38</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38</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39</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39</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38</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39</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39</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39</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38</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39</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39</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39</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38</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38</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39</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39</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38</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39</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39</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38</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39</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38</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38</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39</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39</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38</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39</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39</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38</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38</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38</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39</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38</v>
      </c>
      <c r="D643" s="3">
        <v>50000</v>
      </c>
      <c r="E643">
        <v>4</v>
      </c>
      <c r="F643" t="s">
        <v>13</v>
      </c>
      <c r="G643" t="s">
        <v>28</v>
      </c>
      <c r="H643" t="s">
        <v>15</v>
      </c>
      <c r="I643">
        <v>2</v>
      </c>
      <c r="J643" t="s">
        <v>46</v>
      </c>
      <c r="K643" t="s">
        <v>32</v>
      </c>
      <c r="L643">
        <v>64</v>
      </c>
      <c r="M643" t="str">
        <f t="shared" ref="M643:M706" si="10">IF(L643&gt;54, "Old",IF(L643&gt;=31, "Middle Age", IF(L643&lt;31, "Adolescent", "Invalid")))</f>
        <v>Old</v>
      </c>
      <c r="N643" t="s">
        <v>18</v>
      </c>
    </row>
    <row r="644" spans="1:14" x14ac:dyDescent="0.3">
      <c r="A644">
        <v>21741</v>
      </c>
      <c r="B644" t="s">
        <v>36</v>
      </c>
      <c r="C644" t="s">
        <v>39</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39</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39</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39</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39</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38</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39</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39</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39</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38</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38</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38</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38</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39</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38</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38</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38</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39</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39</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38</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39</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39</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39</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38</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39</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39</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39</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39</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38</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39</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39</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39</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39</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38</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38</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38</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38</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38</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39</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39</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38</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39</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39</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39</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39</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38</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38</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38</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39</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38</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38</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39</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39</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38</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38</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39</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38</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38</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39</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38</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38</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39</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39</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39</v>
      </c>
      <c r="D707" s="3">
        <v>70000</v>
      </c>
      <c r="E707">
        <v>4</v>
      </c>
      <c r="F707" t="s">
        <v>13</v>
      </c>
      <c r="G707" t="s">
        <v>28</v>
      </c>
      <c r="H707" t="s">
        <v>15</v>
      </c>
      <c r="I707">
        <v>1</v>
      </c>
      <c r="J707" t="s">
        <v>46</v>
      </c>
      <c r="K707" t="s">
        <v>32</v>
      </c>
      <c r="L707">
        <v>59</v>
      </c>
      <c r="M707" t="str">
        <f t="shared" ref="M707:M770" si="11">IF(L707&gt;54, "Old",IF(L707&gt;=31, "Middle Age", IF(L707&lt;31, "Adolescent", "Invalid")))</f>
        <v>Old</v>
      </c>
      <c r="N707" t="s">
        <v>18</v>
      </c>
    </row>
    <row r="708" spans="1:14" x14ac:dyDescent="0.3">
      <c r="A708">
        <v>20296</v>
      </c>
      <c r="B708" t="s">
        <v>37</v>
      </c>
      <c r="C708" t="s">
        <v>39</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39</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38</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39</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38</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39</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39</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39</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38</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39</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39</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38</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38</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39</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39</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38</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39</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39</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38</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38</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38</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38</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38</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39</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39</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38</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39</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38</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39</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39</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38</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38</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39</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39</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38</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39</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38</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38</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39</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38</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39</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39</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38</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39</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38</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38</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38</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39</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39</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38</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38</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38</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39</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39</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38</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39</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38</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38</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39</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39</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38</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39</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39</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39</v>
      </c>
      <c r="D771" s="3">
        <v>100000</v>
      </c>
      <c r="E771">
        <v>4</v>
      </c>
      <c r="F771" t="s">
        <v>13</v>
      </c>
      <c r="G771" t="s">
        <v>28</v>
      </c>
      <c r="H771" t="s">
        <v>15</v>
      </c>
      <c r="I771">
        <v>4</v>
      </c>
      <c r="J771" t="s">
        <v>16</v>
      </c>
      <c r="K771" t="s">
        <v>32</v>
      </c>
      <c r="L771">
        <v>40</v>
      </c>
      <c r="M771" t="str">
        <f t="shared" ref="M771:M834" si="12">IF(L771&gt;54, "Old",IF(L771&gt;=31, "Middle Age", IF(L771&lt;31, "Adolescent", "Invalid")))</f>
        <v>Middle Age</v>
      </c>
      <c r="N771" t="s">
        <v>18</v>
      </c>
    </row>
    <row r="772" spans="1:14" x14ac:dyDescent="0.3">
      <c r="A772">
        <v>17699</v>
      </c>
      <c r="B772" t="s">
        <v>36</v>
      </c>
      <c r="C772" t="s">
        <v>38</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38</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38</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39</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39</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38</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38</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38</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38</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38</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39</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38</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38</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38</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39</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39</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39</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39</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39</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38</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39</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38</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38</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38</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38</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38</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38</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38</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39</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39</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38</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38</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38</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38</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38</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39</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39</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39</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38</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39</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39</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38</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39</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39</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39</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38</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39</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39</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38</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39</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38</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38</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38</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39</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38</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38</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38</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39</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39</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38</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38</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39</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39</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39</v>
      </c>
      <c r="D835" s="3">
        <v>70000</v>
      </c>
      <c r="E835">
        <v>0</v>
      </c>
      <c r="F835" t="s">
        <v>13</v>
      </c>
      <c r="G835" t="s">
        <v>21</v>
      </c>
      <c r="H835" t="s">
        <v>18</v>
      </c>
      <c r="I835">
        <v>1</v>
      </c>
      <c r="J835" t="s">
        <v>16</v>
      </c>
      <c r="K835" t="s">
        <v>32</v>
      </c>
      <c r="L835">
        <v>37</v>
      </c>
      <c r="M835" t="str">
        <f t="shared" ref="M835:M898" si="13">IF(L835&gt;54, "Old",IF(L835&gt;=31, "Middle Age", IF(L835&lt;31, "Adolescent", "Invalid")))</f>
        <v>Middle Age</v>
      </c>
      <c r="N835" t="s">
        <v>15</v>
      </c>
    </row>
    <row r="836" spans="1:14" x14ac:dyDescent="0.3">
      <c r="A836">
        <v>19889</v>
      </c>
      <c r="B836" t="s">
        <v>37</v>
      </c>
      <c r="C836" t="s">
        <v>39</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39</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39</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38</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39</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39</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38</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38</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39</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38</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39</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39</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39</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39</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38</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39</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39</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38</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38</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38</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39</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39</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38</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39</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38</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38</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38</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39</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38</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38</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38</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39</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38</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38</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38</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39</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38</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38</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39</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38</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39</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39</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38</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38</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38</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38</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38</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39</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38</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39</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38</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39</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38</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38</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39</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39</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39</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38</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39</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38</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38</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39</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39</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38</v>
      </c>
      <c r="D899" s="3">
        <v>30000</v>
      </c>
      <c r="E899">
        <v>0</v>
      </c>
      <c r="F899" t="s">
        <v>29</v>
      </c>
      <c r="G899" t="s">
        <v>20</v>
      </c>
      <c r="H899" t="s">
        <v>18</v>
      </c>
      <c r="I899">
        <v>2</v>
      </c>
      <c r="J899" t="s">
        <v>16</v>
      </c>
      <c r="K899" t="s">
        <v>32</v>
      </c>
      <c r="L899">
        <v>28</v>
      </c>
      <c r="M899" t="str">
        <f t="shared" ref="M899:M962" si="14">IF(L899&gt;54, "Old",IF(L899&gt;=31, "Middle Age", IF(L899&lt;31, "Adolescent", "Invalid")))</f>
        <v>Adolescent</v>
      </c>
      <c r="N899" t="s">
        <v>18</v>
      </c>
    </row>
    <row r="900" spans="1:14" x14ac:dyDescent="0.3">
      <c r="A900">
        <v>18066</v>
      </c>
      <c r="B900" t="s">
        <v>37</v>
      </c>
      <c r="C900" t="s">
        <v>38</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39</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38</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39</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38</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38</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39</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38</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38</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38</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38</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38</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38</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39</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39</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38</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38</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38</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38</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38</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39</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39</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38</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39</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39</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38</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38</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39</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39</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39</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38</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38</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38</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39</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39</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38</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38</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39</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39</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38</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39</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38</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39</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39</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39</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39</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39</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38</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39</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39</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39</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38</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39</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38</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39</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39</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38</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39</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39</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39</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38</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38</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38</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39</v>
      </c>
      <c r="D963" s="3">
        <v>120000</v>
      </c>
      <c r="E963">
        <v>2</v>
      </c>
      <c r="F963" t="s">
        <v>13</v>
      </c>
      <c r="G963" t="s">
        <v>28</v>
      </c>
      <c r="H963" t="s">
        <v>15</v>
      </c>
      <c r="I963">
        <v>3</v>
      </c>
      <c r="J963" t="s">
        <v>23</v>
      </c>
      <c r="K963" t="s">
        <v>32</v>
      </c>
      <c r="L963">
        <v>62</v>
      </c>
      <c r="M963" t="str">
        <f t="shared" ref="M963:M1001" si="15">IF(L963&gt;54, "Old",IF(L963&gt;=31, "Middle Age", IF(L963&lt;31, "Adolescent", "Invalid")))</f>
        <v>Old</v>
      </c>
      <c r="N963" t="s">
        <v>18</v>
      </c>
    </row>
    <row r="964" spans="1:14" x14ac:dyDescent="0.3">
      <c r="A964">
        <v>16813</v>
      </c>
      <c r="B964" t="s">
        <v>36</v>
      </c>
      <c r="C964" t="s">
        <v>38</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39</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38</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39</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39</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38</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38</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38</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39</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39</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39</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38</v>
      </c>
      <c r="D975" s="3">
        <v>60000</v>
      </c>
      <c r="E975">
        <v>1</v>
      </c>
      <c r="F975" t="s">
        <v>19</v>
      </c>
      <c r="G975" t="s">
        <v>14</v>
      </c>
      <c r="H975" t="s">
        <v>18</v>
      </c>
      <c r="I975">
        <v>1</v>
      </c>
      <c r="J975" t="s">
        <v>16</v>
      </c>
      <c r="K975" t="s">
        <v>32</v>
      </c>
      <c r="L975">
        <v>47</v>
      </c>
      <c r="M975" t="str">
        <f>IF(L975&gt;54, "Old 54+",IF(L975&gt;=31, "Middle Age 31-54", IF(L975&lt;31, "Adolescent 0-30", "Invalid")))</f>
        <v>Middle Age 31-54</v>
      </c>
      <c r="N975" t="s">
        <v>18</v>
      </c>
    </row>
    <row r="976" spans="1:14" x14ac:dyDescent="0.3">
      <c r="A976">
        <v>17462</v>
      </c>
      <c r="B976" t="s">
        <v>36</v>
      </c>
      <c r="C976" t="s">
        <v>38</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38</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39</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39</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38</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38</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39</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38</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38</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38</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38</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39</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38</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39</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38</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38</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39</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39</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38</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38</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38</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38</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38</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38</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89A09AF0-3B3B-4A37-9E1F-C6CC169E44D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5F83A4-523A-41C2-B2FD-BD1A4209E2E9}">
  <dimension ref="A1:D104"/>
  <sheetViews>
    <sheetView topLeftCell="A14" zoomScale="63" workbookViewId="0">
      <selection activeCell="B17" sqref="B17"/>
    </sheetView>
  </sheetViews>
  <sheetFormatPr defaultRowHeight="14.4" x14ac:dyDescent="0.3"/>
  <cols>
    <col min="1" max="1" width="22.5546875" bestFit="1" customWidth="1"/>
    <col min="2" max="2" width="17.21875" bestFit="1" customWidth="1"/>
    <col min="3" max="3" width="4.33203125" bestFit="1" customWidth="1"/>
    <col min="4" max="4" width="11.44140625" bestFit="1" customWidth="1"/>
  </cols>
  <sheetData>
    <row r="1" spans="1:4" x14ac:dyDescent="0.3">
      <c r="A1" s="4" t="s">
        <v>43</v>
      </c>
      <c r="B1" s="4" t="s">
        <v>44</v>
      </c>
    </row>
    <row r="2" spans="1:4" x14ac:dyDescent="0.3">
      <c r="A2" s="4" t="s">
        <v>41</v>
      </c>
      <c r="B2" t="s">
        <v>18</v>
      </c>
      <c r="C2" t="s">
        <v>15</v>
      </c>
      <c r="D2" t="s">
        <v>42</v>
      </c>
    </row>
    <row r="3" spans="1:4" x14ac:dyDescent="0.3">
      <c r="A3" s="5" t="s">
        <v>39</v>
      </c>
      <c r="B3" s="3">
        <v>53440</v>
      </c>
      <c r="C3" s="3">
        <v>55774.058577405856</v>
      </c>
      <c r="D3" s="3">
        <v>54580.777096114522</v>
      </c>
    </row>
    <row r="4" spans="1:4" x14ac:dyDescent="0.3">
      <c r="A4" s="5" t="s">
        <v>38</v>
      </c>
      <c r="B4" s="3">
        <v>56208.178438661707</v>
      </c>
      <c r="C4" s="3">
        <v>60123.966942148763</v>
      </c>
      <c r="D4" s="3">
        <v>58062.62230919765</v>
      </c>
    </row>
    <row r="5" spans="1:4" x14ac:dyDescent="0.3">
      <c r="A5" s="5" t="s">
        <v>42</v>
      </c>
      <c r="B5" s="3">
        <v>54874.759152215796</v>
      </c>
      <c r="C5" s="3">
        <v>57962.577962577961</v>
      </c>
      <c r="D5" s="3">
        <v>56360</v>
      </c>
    </row>
    <row r="17" spans="1:4" x14ac:dyDescent="0.3">
      <c r="A17" s="4" t="s">
        <v>45</v>
      </c>
      <c r="B17" s="4" t="s">
        <v>44</v>
      </c>
    </row>
    <row r="18" spans="1:4" x14ac:dyDescent="0.3">
      <c r="A18" s="4" t="s">
        <v>41</v>
      </c>
      <c r="B18" t="s">
        <v>18</v>
      </c>
      <c r="C18" t="s">
        <v>15</v>
      </c>
      <c r="D18" t="s">
        <v>42</v>
      </c>
    </row>
    <row r="19" spans="1:4" x14ac:dyDescent="0.3">
      <c r="A19" s="5" t="s">
        <v>16</v>
      </c>
      <c r="B19" s="6">
        <v>166</v>
      </c>
      <c r="C19" s="6">
        <v>200</v>
      </c>
      <c r="D19" s="6">
        <v>366</v>
      </c>
    </row>
    <row r="20" spans="1:4" x14ac:dyDescent="0.3">
      <c r="A20" s="5" t="s">
        <v>26</v>
      </c>
      <c r="B20" s="6">
        <v>92</v>
      </c>
      <c r="C20" s="6">
        <v>77</v>
      </c>
      <c r="D20" s="6">
        <v>169</v>
      </c>
    </row>
    <row r="21" spans="1:4" x14ac:dyDescent="0.3">
      <c r="A21" s="5" t="s">
        <v>22</v>
      </c>
      <c r="B21" s="6">
        <v>67</v>
      </c>
      <c r="C21" s="6">
        <v>95</v>
      </c>
      <c r="D21" s="6">
        <v>162</v>
      </c>
    </row>
    <row r="22" spans="1:4" x14ac:dyDescent="0.3">
      <c r="A22" s="5" t="s">
        <v>23</v>
      </c>
      <c r="B22" s="6">
        <v>116</v>
      </c>
      <c r="C22" s="6">
        <v>76</v>
      </c>
      <c r="D22" s="6">
        <v>192</v>
      </c>
    </row>
    <row r="23" spans="1:4" x14ac:dyDescent="0.3">
      <c r="A23" s="5" t="s">
        <v>46</v>
      </c>
      <c r="B23" s="6">
        <v>78</v>
      </c>
      <c r="C23" s="6">
        <v>33</v>
      </c>
      <c r="D23" s="6">
        <v>111</v>
      </c>
    </row>
    <row r="24" spans="1:4" x14ac:dyDescent="0.3">
      <c r="A24" s="5" t="s">
        <v>42</v>
      </c>
      <c r="B24" s="6">
        <v>519</v>
      </c>
      <c r="C24" s="6">
        <v>481</v>
      </c>
      <c r="D24" s="6">
        <v>1000</v>
      </c>
    </row>
    <row r="33" spans="1:4" x14ac:dyDescent="0.3">
      <c r="A33" s="4" t="s">
        <v>45</v>
      </c>
      <c r="B33" s="4" t="s">
        <v>44</v>
      </c>
    </row>
    <row r="34" spans="1:4" x14ac:dyDescent="0.3">
      <c r="A34" s="4" t="s">
        <v>41</v>
      </c>
      <c r="B34" t="s">
        <v>18</v>
      </c>
      <c r="C34" t="s">
        <v>15</v>
      </c>
      <c r="D34" t="s">
        <v>42</v>
      </c>
    </row>
    <row r="35" spans="1:4" x14ac:dyDescent="0.3">
      <c r="A35" s="5" t="s">
        <v>47</v>
      </c>
      <c r="B35" s="6">
        <v>71</v>
      </c>
      <c r="C35" s="6">
        <v>39</v>
      </c>
      <c r="D35" s="6">
        <v>110</v>
      </c>
    </row>
    <row r="36" spans="1:4" x14ac:dyDescent="0.3">
      <c r="A36" s="5" t="s">
        <v>48</v>
      </c>
      <c r="B36" s="6">
        <v>318</v>
      </c>
      <c r="C36" s="6">
        <v>383</v>
      </c>
      <c r="D36" s="6">
        <v>701</v>
      </c>
    </row>
    <row r="37" spans="1:4" x14ac:dyDescent="0.3">
      <c r="A37" s="5" t="s">
        <v>49</v>
      </c>
      <c r="B37" s="6">
        <v>130</v>
      </c>
      <c r="C37" s="6">
        <v>59</v>
      </c>
      <c r="D37" s="6">
        <v>189</v>
      </c>
    </row>
    <row r="38" spans="1:4" x14ac:dyDescent="0.3">
      <c r="A38" s="5" t="s">
        <v>42</v>
      </c>
      <c r="B38" s="6">
        <v>519</v>
      </c>
      <c r="C38" s="6">
        <v>481</v>
      </c>
      <c r="D38" s="6">
        <v>1000</v>
      </c>
    </row>
    <row r="49" spans="1:4" x14ac:dyDescent="0.3">
      <c r="A49" s="4" t="s">
        <v>45</v>
      </c>
      <c r="B49" s="4" t="s">
        <v>44</v>
      </c>
    </row>
    <row r="50" spans="1:4" x14ac:dyDescent="0.3">
      <c r="A50" s="4" t="s">
        <v>41</v>
      </c>
      <c r="B50" t="s">
        <v>18</v>
      </c>
      <c r="C50" t="s">
        <v>15</v>
      </c>
      <c r="D50" t="s">
        <v>42</v>
      </c>
    </row>
    <row r="51" spans="1:4" x14ac:dyDescent="0.3">
      <c r="A51" s="5">
        <v>25</v>
      </c>
      <c r="B51" s="6">
        <v>2</v>
      </c>
      <c r="C51" s="6">
        <v>4</v>
      </c>
      <c r="D51" s="6">
        <v>6</v>
      </c>
    </row>
    <row r="52" spans="1:4" x14ac:dyDescent="0.3">
      <c r="A52" s="5">
        <v>26</v>
      </c>
      <c r="B52" s="6">
        <v>8</v>
      </c>
      <c r="C52" s="6">
        <v>8</v>
      </c>
      <c r="D52" s="6">
        <v>16</v>
      </c>
    </row>
    <row r="53" spans="1:4" x14ac:dyDescent="0.3">
      <c r="A53" s="5">
        <v>27</v>
      </c>
      <c r="B53" s="6">
        <v>15</v>
      </c>
      <c r="C53" s="6">
        <v>8</v>
      </c>
      <c r="D53" s="6">
        <v>23</v>
      </c>
    </row>
    <row r="54" spans="1:4" x14ac:dyDescent="0.3">
      <c r="A54" s="5">
        <v>28</v>
      </c>
      <c r="B54" s="6">
        <v>12</v>
      </c>
      <c r="C54" s="6">
        <v>10</v>
      </c>
      <c r="D54" s="6">
        <v>22</v>
      </c>
    </row>
    <row r="55" spans="1:4" x14ac:dyDescent="0.3">
      <c r="A55" s="5">
        <v>29</v>
      </c>
      <c r="B55" s="6">
        <v>11</v>
      </c>
      <c r="C55" s="6">
        <v>5</v>
      </c>
      <c r="D55" s="6">
        <v>16</v>
      </c>
    </row>
    <row r="56" spans="1:4" x14ac:dyDescent="0.3">
      <c r="A56" s="5">
        <v>30</v>
      </c>
      <c r="B56" s="6">
        <v>23</v>
      </c>
      <c r="C56" s="6">
        <v>4</v>
      </c>
      <c r="D56" s="6">
        <v>27</v>
      </c>
    </row>
    <row r="57" spans="1:4" x14ac:dyDescent="0.3">
      <c r="A57" s="5">
        <v>31</v>
      </c>
      <c r="B57" s="6">
        <v>17</v>
      </c>
      <c r="C57" s="6">
        <v>8</v>
      </c>
      <c r="D57" s="6">
        <v>25</v>
      </c>
    </row>
    <row r="58" spans="1:4" x14ac:dyDescent="0.3">
      <c r="A58" s="5">
        <v>32</v>
      </c>
      <c r="B58" s="6">
        <v>19</v>
      </c>
      <c r="C58" s="6">
        <v>14</v>
      </c>
      <c r="D58" s="6">
        <v>33</v>
      </c>
    </row>
    <row r="59" spans="1:4" x14ac:dyDescent="0.3">
      <c r="A59" s="5">
        <v>33</v>
      </c>
      <c r="B59" s="6">
        <v>8</v>
      </c>
      <c r="C59" s="6">
        <v>13</v>
      </c>
      <c r="D59" s="6">
        <v>21</v>
      </c>
    </row>
    <row r="60" spans="1:4" x14ac:dyDescent="0.3">
      <c r="A60" s="5">
        <v>34</v>
      </c>
      <c r="B60" s="6">
        <v>12</v>
      </c>
      <c r="C60" s="6">
        <v>19</v>
      </c>
      <c r="D60" s="6">
        <v>31</v>
      </c>
    </row>
    <row r="61" spans="1:4" x14ac:dyDescent="0.3">
      <c r="A61" s="5">
        <v>35</v>
      </c>
      <c r="B61" s="6">
        <v>14</v>
      </c>
      <c r="C61" s="6">
        <v>22</v>
      </c>
      <c r="D61" s="6">
        <v>36</v>
      </c>
    </row>
    <row r="62" spans="1:4" x14ac:dyDescent="0.3">
      <c r="A62" s="5">
        <v>36</v>
      </c>
      <c r="B62" s="6">
        <v>7</v>
      </c>
      <c r="C62" s="6">
        <v>30</v>
      </c>
      <c r="D62" s="6">
        <v>37</v>
      </c>
    </row>
    <row r="63" spans="1:4" x14ac:dyDescent="0.3">
      <c r="A63" s="5">
        <v>37</v>
      </c>
      <c r="B63" s="6">
        <v>4</v>
      </c>
      <c r="C63" s="6">
        <v>28</v>
      </c>
      <c r="D63" s="6">
        <v>32</v>
      </c>
    </row>
    <row r="64" spans="1:4" x14ac:dyDescent="0.3">
      <c r="A64" s="5">
        <v>38</v>
      </c>
      <c r="B64" s="6">
        <v>8</v>
      </c>
      <c r="C64" s="6">
        <v>29</v>
      </c>
      <c r="D64" s="6">
        <v>37</v>
      </c>
    </row>
    <row r="65" spans="1:4" x14ac:dyDescent="0.3">
      <c r="A65" s="5">
        <v>39</v>
      </c>
      <c r="B65" s="6">
        <v>10</v>
      </c>
      <c r="C65" s="6">
        <v>12</v>
      </c>
      <c r="D65" s="6">
        <v>22</v>
      </c>
    </row>
    <row r="66" spans="1:4" x14ac:dyDescent="0.3">
      <c r="A66" s="5">
        <v>40</v>
      </c>
      <c r="B66" s="6">
        <v>24</v>
      </c>
      <c r="C66" s="6">
        <v>18</v>
      </c>
      <c r="D66" s="6">
        <v>42</v>
      </c>
    </row>
    <row r="67" spans="1:4" x14ac:dyDescent="0.3">
      <c r="A67" s="5">
        <v>41</v>
      </c>
      <c r="B67" s="6">
        <v>13</v>
      </c>
      <c r="C67" s="6">
        <v>15</v>
      </c>
      <c r="D67" s="6">
        <v>28</v>
      </c>
    </row>
    <row r="68" spans="1:4" x14ac:dyDescent="0.3">
      <c r="A68" s="5">
        <v>42</v>
      </c>
      <c r="B68" s="6">
        <v>22</v>
      </c>
      <c r="C68" s="6">
        <v>12</v>
      </c>
      <c r="D68" s="6">
        <v>34</v>
      </c>
    </row>
    <row r="69" spans="1:4" x14ac:dyDescent="0.3">
      <c r="A69" s="5">
        <v>43</v>
      </c>
      <c r="B69" s="6">
        <v>17</v>
      </c>
      <c r="C69" s="6">
        <v>19</v>
      </c>
      <c r="D69" s="6">
        <v>36</v>
      </c>
    </row>
    <row r="70" spans="1:4" x14ac:dyDescent="0.3">
      <c r="A70" s="5">
        <v>44</v>
      </c>
      <c r="B70" s="6">
        <v>15</v>
      </c>
      <c r="C70" s="6">
        <v>12</v>
      </c>
      <c r="D70" s="6">
        <v>27</v>
      </c>
    </row>
    <row r="71" spans="1:4" x14ac:dyDescent="0.3">
      <c r="A71" s="5">
        <v>45</v>
      </c>
      <c r="B71" s="6">
        <v>18</v>
      </c>
      <c r="C71" s="6">
        <v>13</v>
      </c>
      <c r="D71" s="6">
        <v>31</v>
      </c>
    </row>
    <row r="72" spans="1:4" x14ac:dyDescent="0.3">
      <c r="A72" s="5">
        <v>46</v>
      </c>
      <c r="B72" s="6">
        <v>12</v>
      </c>
      <c r="C72" s="6">
        <v>15</v>
      </c>
      <c r="D72" s="6">
        <v>27</v>
      </c>
    </row>
    <row r="73" spans="1:4" x14ac:dyDescent="0.3">
      <c r="A73" s="5">
        <v>47</v>
      </c>
      <c r="B73" s="6">
        <v>19</v>
      </c>
      <c r="C73" s="6">
        <v>20</v>
      </c>
      <c r="D73" s="6">
        <v>39</v>
      </c>
    </row>
    <row r="74" spans="1:4" x14ac:dyDescent="0.3">
      <c r="A74" s="5">
        <v>48</v>
      </c>
      <c r="B74" s="6">
        <v>16</v>
      </c>
      <c r="C74" s="6">
        <v>13</v>
      </c>
      <c r="D74" s="6">
        <v>29</v>
      </c>
    </row>
    <row r="75" spans="1:4" x14ac:dyDescent="0.3">
      <c r="A75" s="5">
        <v>49</v>
      </c>
      <c r="B75" s="6">
        <v>15</v>
      </c>
      <c r="C75" s="6">
        <v>8</v>
      </c>
      <c r="D75" s="6">
        <v>23</v>
      </c>
    </row>
    <row r="76" spans="1:4" x14ac:dyDescent="0.3">
      <c r="A76" s="5">
        <v>50</v>
      </c>
      <c r="B76" s="6">
        <v>12</v>
      </c>
      <c r="C76" s="6">
        <v>12</v>
      </c>
      <c r="D76" s="6">
        <v>24</v>
      </c>
    </row>
    <row r="77" spans="1:4" x14ac:dyDescent="0.3">
      <c r="A77" s="5">
        <v>51</v>
      </c>
      <c r="B77" s="6">
        <v>10</v>
      </c>
      <c r="C77" s="6">
        <v>12</v>
      </c>
      <c r="D77" s="6">
        <v>22</v>
      </c>
    </row>
    <row r="78" spans="1:4" x14ac:dyDescent="0.3">
      <c r="A78" s="5">
        <v>52</v>
      </c>
      <c r="B78" s="6">
        <v>10</v>
      </c>
      <c r="C78" s="6">
        <v>15</v>
      </c>
      <c r="D78" s="6">
        <v>25</v>
      </c>
    </row>
    <row r="79" spans="1:4" x14ac:dyDescent="0.3">
      <c r="A79" s="5">
        <v>53</v>
      </c>
      <c r="B79" s="6">
        <v>11</v>
      </c>
      <c r="C79" s="6">
        <v>13</v>
      </c>
      <c r="D79" s="6">
        <v>24</v>
      </c>
    </row>
    <row r="80" spans="1:4" x14ac:dyDescent="0.3">
      <c r="A80" s="5">
        <v>54</v>
      </c>
      <c r="B80" s="6">
        <v>5</v>
      </c>
      <c r="C80" s="6">
        <v>11</v>
      </c>
      <c r="D80" s="6">
        <v>16</v>
      </c>
    </row>
    <row r="81" spans="1:4" x14ac:dyDescent="0.3">
      <c r="A81" s="5">
        <v>55</v>
      </c>
      <c r="B81" s="6">
        <v>13</v>
      </c>
      <c r="C81" s="6">
        <v>5</v>
      </c>
      <c r="D81" s="6">
        <v>18</v>
      </c>
    </row>
    <row r="82" spans="1:4" x14ac:dyDescent="0.3">
      <c r="A82" s="5">
        <v>56</v>
      </c>
      <c r="B82" s="6">
        <v>13</v>
      </c>
      <c r="C82" s="6">
        <v>3</v>
      </c>
      <c r="D82" s="6">
        <v>16</v>
      </c>
    </row>
    <row r="83" spans="1:4" x14ac:dyDescent="0.3">
      <c r="A83" s="5">
        <v>57</v>
      </c>
      <c r="B83" s="6">
        <v>4</v>
      </c>
      <c r="C83" s="6">
        <v>4</v>
      </c>
      <c r="D83" s="6">
        <v>8</v>
      </c>
    </row>
    <row r="84" spans="1:4" x14ac:dyDescent="0.3">
      <c r="A84" s="5">
        <v>58</v>
      </c>
      <c r="B84" s="6">
        <v>8</v>
      </c>
      <c r="C84" s="6">
        <v>4</v>
      </c>
      <c r="D84" s="6">
        <v>12</v>
      </c>
    </row>
    <row r="85" spans="1:4" x14ac:dyDescent="0.3">
      <c r="A85" s="5">
        <v>59</v>
      </c>
      <c r="B85" s="6">
        <v>14</v>
      </c>
      <c r="C85" s="6">
        <v>6</v>
      </c>
      <c r="D85" s="6">
        <v>20</v>
      </c>
    </row>
    <row r="86" spans="1:4" x14ac:dyDescent="0.3">
      <c r="A86" s="5">
        <v>60</v>
      </c>
      <c r="B86" s="6">
        <v>8</v>
      </c>
      <c r="C86" s="6">
        <v>7</v>
      </c>
      <c r="D86" s="6">
        <v>15</v>
      </c>
    </row>
    <row r="87" spans="1:4" x14ac:dyDescent="0.3">
      <c r="A87" s="5">
        <v>61</v>
      </c>
      <c r="B87" s="6">
        <v>5</v>
      </c>
      <c r="C87" s="6">
        <v>4</v>
      </c>
      <c r="D87" s="6">
        <v>9</v>
      </c>
    </row>
    <row r="88" spans="1:4" x14ac:dyDescent="0.3">
      <c r="A88" s="5">
        <v>62</v>
      </c>
      <c r="B88" s="6">
        <v>9</v>
      </c>
      <c r="C88" s="6">
        <v>4</v>
      </c>
      <c r="D88" s="6">
        <v>13</v>
      </c>
    </row>
    <row r="89" spans="1:4" x14ac:dyDescent="0.3">
      <c r="A89" s="5">
        <v>63</v>
      </c>
      <c r="B89" s="6">
        <v>7</v>
      </c>
      <c r="C89" s="6">
        <v>2</v>
      </c>
      <c r="D89" s="6">
        <v>9</v>
      </c>
    </row>
    <row r="90" spans="1:4" x14ac:dyDescent="0.3">
      <c r="A90" s="5">
        <v>64</v>
      </c>
      <c r="B90" s="6">
        <v>7</v>
      </c>
      <c r="C90" s="6">
        <v>3</v>
      </c>
      <c r="D90" s="6">
        <v>10</v>
      </c>
    </row>
    <row r="91" spans="1:4" x14ac:dyDescent="0.3">
      <c r="A91" s="5">
        <v>65</v>
      </c>
      <c r="B91" s="6">
        <v>6</v>
      </c>
      <c r="C91" s="6">
        <v>3</v>
      </c>
      <c r="D91" s="6">
        <v>9</v>
      </c>
    </row>
    <row r="92" spans="1:4" x14ac:dyDescent="0.3">
      <c r="A92" s="5">
        <v>66</v>
      </c>
      <c r="B92" s="6">
        <v>8</v>
      </c>
      <c r="C92" s="6">
        <v>6</v>
      </c>
      <c r="D92" s="6">
        <v>14</v>
      </c>
    </row>
    <row r="93" spans="1:4" x14ac:dyDescent="0.3">
      <c r="A93" s="5">
        <v>67</v>
      </c>
      <c r="B93" s="6">
        <v>8</v>
      </c>
      <c r="C93" s="6">
        <v>2</v>
      </c>
      <c r="D93" s="6">
        <v>10</v>
      </c>
    </row>
    <row r="94" spans="1:4" x14ac:dyDescent="0.3">
      <c r="A94" s="5">
        <v>68</v>
      </c>
      <c r="B94" s="6">
        <v>3</v>
      </c>
      <c r="C94" s="6"/>
      <c r="D94" s="6">
        <v>3</v>
      </c>
    </row>
    <row r="95" spans="1:4" x14ac:dyDescent="0.3">
      <c r="A95" s="5">
        <v>69</v>
      </c>
      <c r="B95" s="6">
        <v>8</v>
      </c>
      <c r="C95" s="6"/>
      <c r="D95" s="6">
        <v>8</v>
      </c>
    </row>
    <row r="96" spans="1:4" x14ac:dyDescent="0.3">
      <c r="A96" s="5">
        <v>70</v>
      </c>
      <c r="B96" s="6">
        <v>3</v>
      </c>
      <c r="C96" s="6">
        <v>1</v>
      </c>
      <c r="D96" s="6">
        <v>4</v>
      </c>
    </row>
    <row r="97" spans="1:4" x14ac:dyDescent="0.3">
      <c r="A97" s="5">
        <v>71</v>
      </c>
      <c r="B97" s="6">
        <v>1</v>
      </c>
      <c r="C97" s="6"/>
      <c r="D97" s="6">
        <v>1</v>
      </c>
    </row>
    <row r="98" spans="1:4" x14ac:dyDescent="0.3">
      <c r="A98" s="5">
        <v>72</v>
      </c>
      <c r="B98" s="6"/>
      <c r="C98" s="6">
        <v>1</v>
      </c>
      <c r="D98" s="6">
        <v>1</v>
      </c>
    </row>
    <row r="99" spans="1:4" x14ac:dyDescent="0.3">
      <c r="A99" s="5">
        <v>73</v>
      </c>
      <c r="B99" s="6">
        <v>2</v>
      </c>
      <c r="C99" s="6">
        <v>2</v>
      </c>
      <c r="D99" s="6">
        <v>4</v>
      </c>
    </row>
    <row r="100" spans="1:4" x14ac:dyDescent="0.3">
      <c r="A100" s="5">
        <v>74</v>
      </c>
      <c r="B100" s="6"/>
      <c r="C100" s="6">
        <v>1</v>
      </c>
      <c r="D100" s="6">
        <v>1</v>
      </c>
    </row>
    <row r="101" spans="1:4" x14ac:dyDescent="0.3">
      <c r="A101" s="5">
        <v>78</v>
      </c>
      <c r="B101" s="6">
        <v>1</v>
      </c>
      <c r="C101" s="6">
        <v>1</v>
      </c>
      <c r="D101" s="6">
        <v>2</v>
      </c>
    </row>
    <row r="102" spans="1:4" x14ac:dyDescent="0.3">
      <c r="A102" s="5">
        <v>80</v>
      </c>
      <c r="B102" s="6">
        <v>1</v>
      </c>
      <c r="C102" s="6"/>
      <c r="D102" s="6">
        <v>1</v>
      </c>
    </row>
    <row r="103" spans="1:4" x14ac:dyDescent="0.3">
      <c r="A103" s="5">
        <v>89</v>
      </c>
      <c r="B103" s="6">
        <v>1</v>
      </c>
      <c r="C103" s="6"/>
      <c r="D103" s="6">
        <v>1</v>
      </c>
    </row>
    <row r="104" spans="1:4" x14ac:dyDescent="0.3">
      <c r="A104" s="5" t="s">
        <v>42</v>
      </c>
      <c r="B104" s="6">
        <v>519</v>
      </c>
      <c r="C104" s="6">
        <v>481</v>
      </c>
      <c r="D104"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A8103-F328-40B3-8C81-19B8CCF5A9CA}">
  <dimension ref="A1:Y20"/>
  <sheetViews>
    <sheetView showGridLines="0" tabSelected="1" zoomScale="66" workbookViewId="0">
      <selection activeCell="W19" sqref="W19"/>
    </sheetView>
  </sheetViews>
  <sheetFormatPr defaultRowHeight="14.4" x14ac:dyDescent="0.3"/>
  <sheetData>
    <row r="1" spans="1:19" ht="14.4" customHeight="1" x14ac:dyDescent="1.1000000000000001">
      <c r="A1" s="8" t="s">
        <v>50</v>
      </c>
      <c r="B1" s="8"/>
      <c r="C1" s="8"/>
      <c r="D1" s="8"/>
      <c r="E1" s="8"/>
      <c r="F1" s="8"/>
      <c r="G1" s="8"/>
      <c r="H1" s="8"/>
      <c r="I1" s="8"/>
      <c r="J1" s="8"/>
      <c r="K1" s="8"/>
      <c r="L1" s="8"/>
      <c r="M1" s="8"/>
      <c r="N1" s="8"/>
      <c r="O1" s="8"/>
      <c r="P1" s="8"/>
      <c r="Q1" s="8"/>
      <c r="R1" s="8"/>
      <c r="S1" s="7"/>
    </row>
    <row r="2" spans="1:19" ht="14.4" customHeight="1" x14ac:dyDescent="1.1000000000000001">
      <c r="A2" s="8"/>
      <c r="B2" s="8"/>
      <c r="C2" s="8"/>
      <c r="D2" s="8"/>
      <c r="E2" s="8"/>
      <c r="F2" s="8"/>
      <c r="G2" s="8"/>
      <c r="H2" s="8"/>
      <c r="I2" s="8"/>
      <c r="J2" s="8"/>
      <c r="K2" s="8"/>
      <c r="L2" s="8"/>
      <c r="M2" s="8"/>
      <c r="N2" s="8"/>
      <c r="O2" s="8"/>
      <c r="P2" s="8"/>
      <c r="Q2" s="8"/>
      <c r="R2" s="8"/>
      <c r="S2" s="7"/>
    </row>
    <row r="3" spans="1:19" ht="15.6" customHeight="1" x14ac:dyDescent="1.1000000000000001">
      <c r="A3" s="8"/>
      <c r="B3" s="8"/>
      <c r="C3" s="8"/>
      <c r="D3" s="8"/>
      <c r="E3" s="8"/>
      <c r="F3" s="8"/>
      <c r="G3" s="8"/>
      <c r="H3" s="8"/>
      <c r="I3" s="8"/>
      <c r="J3" s="8"/>
      <c r="K3" s="8"/>
      <c r="L3" s="8"/>
      <c r="M3" s="8"/>
      <c r="N3" s="8"/>
      <c r="O3" s="8"/>
      <c r="P3" s="8"/>
      <c r="Q3" s="8"/>
      <c r="R3" s="8"/>
      <c r="S3" s="7"/>
    </row>
    <row r="4" spans="1:19" ht="14.4" customHeight="1" x14ac:dyDescent="1.1000000000000001">
      <c r="A4" s="8"/>
      <c r="B4" s="8"/>
      <c r="C4" s="8"/>
      <c r="D4" s="8"/>
      <c r="E4" s="8"/>
      <c r="F4" s="8"/>
      <c r="G4" s="8"/>
      <c r="H4" s="8"/>
      <c r="I4" s="8"/>
      <c r="J4" s="8"/>
      <c r="K4" s="8"/>
      <c r="L4" s="8"/>
      <c r="M4" s="8"/>
      <c r="N4" s="8"/>
      <c r="O4" s="8"/>
      <c r="P4" s="8"/>
      <c r="Q4" s="8"/>
      <c r="R4" s="8"/>
      <c r="S4" s="7"/>
    </row>
    <row r="5" spans="1:19" ht="14.4" customHeight="1" x14ac:dyDescent="1.1000000000000001">
      <c r="A5" s="7"/>
      <c r="B5" s="7"/>
      <c r="C5" s="7"/>
      <c r="D5" s="7"/>
      <c r="E5" s="7"/>
      <c r="F5" s="7"/>
      <c r="G5" s="7"/>
      <c r="H5" s="7"/>
      <c r="I5" s="7"/>
      <c r="J5" s="7"/>
      <c r="K5" s="7"/>
      <c r="L5" s="7"/>
      <c r="M5" s="7"/>
      <c r="N5" s="7"/>
      <c r="O5" s="7"/>
      <c r="P5" s="7"/>
      <c r="Q5" s="7"/>
      <c r="R5" s="7"/>
    </row>
    <row r="6" spans="1:19" ht="14.4" customHeight="1" x14ac:dyDescent="1.1000000000000001">
      <c r="A6" s="7"/>
      <c r="B6" s="7"/>
      <c r="C6" s="7"/>
      <c r="D6" s="7"/>
      <c r="E6" s="7"/>
      <c r="F6" s="7"/>
      <c r="G6" s="7"/>
      <c r="H6" s="7"/>
      <c r="I6" s="7"/>
      <c r="J6" s="7"/>
      <c r="K6" s="7"/>
      <c r="L6" s="7"/>
      <c r="M6" s="7"/>
      <c r="N6" s="7"/>
      <c r="O6" s="7"/>
      <c r="P6" s="7"/>
      <c r="Q6" s="7"/>
      <c r="R6" s="7"/>
    </row>
    <row r="20" spans="25:25" x14ac:dyDescent="0.3">
      <c r="Y20" t="s">
        <v>51</v>
      </c>
    </row>
  </sheetData>
  <mergeCells count="1">
    <mergeCell ref="A1:R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Worksheet</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buse pek</cp:lastModifiedBy>
  <dcterms:created xsi:type="dcterms:W3CDTF">2022-03-18T02:50:57Z</dcterms:created>
  <dcterms:modified xsi:type="dcterms:W3CDTF">2026-01-14T20:49:07Z</dcterms:modified>
</cp:coreProperties>
</file>